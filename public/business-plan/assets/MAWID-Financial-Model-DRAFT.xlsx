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f25fa14cd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8cdda49d224add"/>
    <x:sheet xmlns:r="http://schemas.openxmlformats.org/officeDocument/2006/relationships" name="Assumptions" sheetId="2" r:id="R839de38830614785"/>
    <x:sheet xmlns:r="http://schemas.openxmlformats.org/officeDocument/2006/relationships" name="Input_Provenance" sheetId="3" r:id="R4ff55137447f4f3c"/>
    <x:sheet xmlns:r="http://schemas.openxmlformats.org/officeDocument/2006/relationships" name="Capacity_Ramp" sheetId="4" r:id="R78618d3ed62b425b"/>
    <x:sheet xmlns:r="http://schemas.openxmlformats.org/officeDocument/2006/relationships" name="Forecast" sheetId="5" r:id="Rd0cf15a4ca0e46e1"/>
    <x:sheet xmlns:r="http://schemas.openxmlformats.org/officeDocument/2006/relationships" name="Checks" sheetId="6" r:id="R3db9047012f34629"/>
    <x:sheet xmlns:r="http://schemas.openxmlformats.org/officeDocument/2006/relationships" name="Sources" sheetId="7" r:id="R625ea66b250f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-$#,##0.00"/>
    <x:numFmt numFmtId="201" formatCode="0"/>
  </x:numFmts>
  <x:fonts count="15">
    <x:font>
      <x:sz val="11"/>
      <x:name val="Carlito"/>
    </x:font>
    <x:font>
      <x:sz val="10"/>
      <x:color rgb="FF242521"/>
      <x:name val="Inter"/>
    </x:font>
    <x:font>
      <x:b/>
      <x:sz val="18"/>
      <x:color rgb="FFFFFFFF"/>
      <x:name val="Inter"/>
    </x:font>
    <x:font>
      <x:i/>
      <x:sz val="10"/>
      <x:color rgb="FF242521"/>
      <x:name val="Inter"/>
    </x:font>
    <x:font>
      <x:b/>
      <x:sz val="10"/>
      <x:color rgb="FFFFFFFF"/>
      <x:name val="Inter"/>
    </x:font>
    <x:font>
      <x:b/>
      <x:sz val="10"/>
      <x:color rgb="FF166534"/>
      <x:name val="Inter"/>
    </x:font>
    <x:font>
      <x:b/>
      <x:sz val="11"/>
      <x:color rgb="FFB42318"/>
      <x:name val="Inter"/>
    </x:font>
    <x:font>
      <x:b/>
      <x:sz val="10"/>
      <x:color rgb="FF242521"/>
      <x:name val="Inter"/>
    </x:font>
    <x:font>
      <x:b/>
      <x:i/>
      <x:sz val="10"/>
      <x:color rgb="FFFFFFFF"/>
      <x:name val="Inter"/>
    </x:font>
    <x:font>
      <x:b/>
      <x:i/>
      <x:sz val="10"/>
      <x:color rgb="FF1D4ED8"/>
      <x:name val="Inter"/>
    </x:font>
    <x:font>
      <x:b/>
      <x:sz val="10"/>
      <x:color rgb="FF1D4ED8"/>
      <x:name val="Inter"/>
    </x:font>
    <x:font>
      <x:sz val="10"/>
      <x:color rgb="FF166534"/>
      <x:name val="Inter"/>
    </x:font>
    <x:font>
      <x:b/>
      <x:sz val="10"/>
      <x:color rgb="FFB42318"/>
      <x:name val="Inter"/>
    </x:font>
    <x:font>
      <x:sz val="9"/>
      <x:color rgb="FF166534"/>
      <x:name val="Inter"/>
    </x:font>
    <x:font>
      <x:b/>
      <x:sz val="12"/>
      <x:color rgb="FFB42318"/>
      <x:name val="Inter"/>
    </x:font>
  </x:fonts>
  <x:fills count="8">
    <x:fill>
      <x:patternFill patternType="none"/>
    </x:fill>
    <x:fill>
      <x:patternFill patternType="gray125"/>
    </x:fill>
    <x:fill>
      <x:patternFill patternType="solid">
        <x:fgColor rgb="FF0B4D3B"/>
      </x:patternFill>
    </x:fill>
    <x:fill>
      <x:patternFill patternType="solid">
        <x:fgColor rgb="FFF7F1E8"/>
      </x:patternFill>
    </x:fill>
    <x:fill>
      <x:patternFill patternType="solid">
        <x:fgColor rgb="FF126A52"/>
      </x:patternFill>
    </x:fill>
    <x:fill>
      <x:patternFill patternType="solid">
        <x:fgColor rgb="FFFDECEC"/>
      </x:patternFill>
    </x:fill>
    <x:fill>
      <x:patternFill patternType="solid">
        <x:fgColor rgb="FFF2E7D3"/>
      </x:patternFill>
    </x:fill>
    <x:fill>
      <x:patternFill patternType="solid">
        <x:fgColor rgb="FFEFF6FF"/>
      </x:patternFill>
    </x:fill>
  </x:fills>
  <x:borders count="16"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  <x:bottom/>
    </x:border>
    <x:border>
      <x:top/>
    </x:border>
    <x:border>
      <x:bottom/>
    </x:border>
    <x:border>
      <x:left/>
      <x:right/>
      <x:top/>
      <x:bottom/>
    </x:border>
  </x:borders>
  <x:cellStyleXfs count="1">
    <x:xf numFmtId="0" fontId="0" fillId="0" borderId="0"/>
  </x:cellStyleXfs>
  <x:cellXfs count="18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11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/>
    <x:xf numFmtId="0" fontId="4" fillId="4" borderId="12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horizont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3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6" xfId="0" applyNumberFormat="1" applyFont="1" applyFill="1" applyBorder="1"/>
    <x:xf numFmtId="0" fontId="7" fillId="6" borderId="13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4" xfId="0" applyNumberFormat="1" applyFont="1" applyFill="1" applyBorder="1"/>
    <x:xf numFmtId="0" fontId="7" fillId="6" borderId="11" xfId="0" applyNumberFormat="1" applyFont="1" applyFill="1" applyBorder="1"/>
    <x:xf numFmtId="0" fontId="7" fillId="6" borderId="6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5" xfId="0" applyNumberFormat="1" applyFont="1" applyFill="1" applyBorder="1" applyAlignment="1">
      <x:alignment vertical="center" wrapText="1"/>
    </x:xf>
    <x:xf numFmtId="0" fontId="8" fillId="4" borderId="15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15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4" xfId="0" applyNumberFormat="1" applyFont="1" applyFill="1" applyBorder="1" applyAlignment="1">
      <x:alignment vertical="top" wrapText="1"/>
    </x:xf>
    <x:xf numFmtId="0" fontId="10" fillId="7" borderId="13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4" xfId="0" applyNumberFormat="1" applyFont="1" applyFill="1" applyBorder="1" applyAlignment="1">
      <x:alignment vertical="top" wrapText="1"/>
    </x:xf>
    <x:xf numFmtId="0" fontId="10" fillId="7" borderId="6" xfId="0" applyNumberFormat="1" applyFont="1" applyFill="1" applyBorder="1" applyAlignment="1">
      <x:alignment vertical="top" wrapText="1"/>
    </x:xf>
    <x:xf numFmtId="0" fontId="10" fillId="7" borderId="7" xfId="0" applyNumberFormat="1" applyFont="1" applyFill="1" applyBorder="1" applyAlignment="1">
      <x:alignment vertical="top" wrapText="1"/>
    </x:xf>
    <x:xf numFmtId="0" fontId="10" fillId="7" borderId="8" xfId="0" applyNumberFormat="1" applyFont="1" applyFill="1" applyBorder="1" applyAlignment="1">
      <x:alignment vertical="top" wrapText="1"/>
    </x:xf>
    <x:xf numFmtId="0" fontId="10" fillId="7" borderId="9" xfId="0" applyNumberFormat="1" applyFont="1" applyFill="1" applyBorder="1" applyAlignment="1">
      <x:alignment vertical="top" wrapText="1"/>
    </x:xf>
    <x:xf numFmtId="0" fontId="10" fillId="7" borderId="1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6" borderId="6" xfId="0" applyNumberFormat="1" applyFont="1" applyFill="1" applyBorder="1" applyAlignment="1">
      <x:alignment vertical="top" wrapText="1"/>
    </x:xf>
    <x:xf numFmtId="0" fontId="10" fillId="6" borderId="13" xfId="0" applyNumberFormat="1" applyFont="1" applyFill="1" applyBorder="1" applyAlignment="1">
      <x:alignment vertical="top" wrapText="1"/>
    </x:xf>
    <x:xf numFmtId="0" fontId="10" fillId="6" borderId="7" xfId="0" applyNumberFormat="1" applyFont="1" applyFill="1" applyBorder="1" applyAlignment="1">
      <x:alignment vertical="top" wrapText="1"/>
    </x:xf>
    <x:xf numFmtId="200" fontId="10" fillId="7" borderId="8" xfId="0" applyNumberFormat="1" applyFont="1" applyFill="1" applyBorder="1" applyAlignment="1">
      <x:alignment vertical="top" wrapText="1"/>
    </x:xf>
    <x:xf numFmtId="200" fontId="10" fillId="7" borderId="0" xfId="0" applyNumberFormat="1" applyFont="1" applyFill="1" applyBorder="1" applyAlignment="1">
      <x:alignment vertical="top" wrapText="1"/>
    </x:xf>
    <x:xf numFmtId="200" fontId="10" fillId="7" borderId="9" xfId="0" applyNumberFormat="1" applyFont="1" applyFill="1" applyBorder="1" applyAlignment="1">
      <x:alignment vertical="top" wrapText="1"/>
    </x:xf>
    <x:xf numFmtId="201" fontId="10" fillId="7" borderId="10" xfId="0" applyNumberFormat="1" applyFont="1" applyFill="1" applyBorder="1" applyAlignment="1">
      <x:alignment vertical="top" wrapText="1"/>
    </x:xf>
    <x:xf numFmtId="201" fontId="10" fillId="7" borderId="14" xfId="0" applyNumberFormat="1" applyFont="1" applyFill="1" applyBorder="1" applyAlignment="1">
      <x:alignment vertical="top" wrapText="1"/>
    </x:xf>
    <x:xf numFmtId="201" fontId="10" fillId="7" borderId="11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13" xfId="0" applyNumberFormat="1" applyFont="1" applyFill="1" applyBorder="1" applyAlignment="1">
      <x:alignment vertical="top" wrapText="1"/>
    </x:xf>
    <x:xf numFmtId="0" fontId="1" fillId="6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9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  <x:xf numFmtId="0" fontId="1" fillId="6" borderId="14" xfId="0" applyNumberFormat="1" applyFont="1" applyFill="1" applyBorder="1" applyAlignment="1">
      <x:alignment vertical="top" wrapText="1"/>
    </x:xf>
    <x:xf numFmtId="0" fontId="1" fillId="6" borderId="11" xfId="0" applyNumberFormat="1" applyFont="1" applyFill="1" applyBorder="1" applyAlignment="1">
      <x:alignment vertical="top" wrapText="1"/>
    </x:xf>
    <x:xf numFmtId="0" fontId="11" fillId="0" borderId="13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1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/>
    <x:xf numFmtId="0" fontId="1" fillId="0" borderId="12" xfId="0" applyNumberFormat="1" applyFont="1" applyFill="1" applyBorder="1"/>
    <x:xf numFmtId="0" fontId="1" fillId="0" borderId="5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2" fillId="0" borderId="12" xfId="0" applyNumberFormat="1" applyFont="1" applyFill="1" applyBorder="1" applyAlignment="1">
      <x:alignment vertical="top" wrapText="1"/>
    </x:xf>
    <x:xf numFmtId="0" fontId="13" fillId="0" borderId="13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9" xfId="0" applyNumberFormat="1" applyFont="1" applyFill="1" applyBorder="1" applyAlignment="1">
      <x:alignment vertical="top" wrapText="1"/>
    </x:xf>
    <x:xf numFmtId="0" fontId="13" fillId="0" borderId="14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 applyAlignment="1">
      <x:alignment vertical="top" wrapText="1"/>
    </x:xf>
    <x:xf numFmtId="200" fontId="13" fillId="0" borderId="13" xfId="0" applyNumberFormat="1" applyFont="1" applyFill="1" applyBorder="1" applyAlignment="1">
      <x:alignment vertical="top" wrapText="1"/>
    </x:xf>
    <x:xf numFmtId="200" fontId="13" fillId="0" borderId="7" xfId="0" applyNumberFormat="1" applyFont="1" applyFill="1" applyBorder="1" applyAlignment="1">
      <x:alignment vertical="top" wrapText="1"/>
    </x:xf>
    <x:xf numFmtId="200" fontId="13" fillId="0" borderId="0" xfId="0" applyNumberFormat="1" applyFont="1" applyFill="1" applyBorder="1" applyAlignment="1">
      <x:alignment vertical="top" wrapText="1"/>
    </x:xf>
    <x:xf numFmtId="200" fontId="13" fillId="0" borderId="9" xfId="0" applyNumberFormat="1" applyFont="1" applyFill="1" applyBorder="1" applyAlignment="1">
      <x:alignment vertical="top" wrapText="1"/>
    </x:xf>
    <x:xf numFmtId="200" fontId="13" fillId="0" borderId="14" xfId="0" applyNumberFormat="1" applyFont="1" applyFill="1" applyBorder="1" applyAlignment="1">
      <x:alignment vertical="top" wrapText="1"/>
    </x:xf>
    <x:xf numFmtId="200" fontId="13" fillId="0" borderId="11" xfId="0" applyNumberFormat="1" applyFont="1" applyFill="1" applyBorder="1" applyAlignment="1">
      <x:alignment vertical="top" wrapText="1"/>
    </x:xf>
    <x:xf numFmtId="0" fontId="12" fillId="0" borderId="7" xfId="0" applyNumberFormat="1" applyFont="1" applyFill="1" applyBorder="1" applyAlignment="1">
      <x:alignment vertical="top" wrapText="1"/>
    </x:xf>
    <x:xf numFmtId="0" fontId="12" fillId="0" borderId="9" xfId="0" applyNumberFormat="1" applyFont="1" applyFill="1" applyBorder="1" applyAlignment="1">
      <x:alignment vertical="top" wrapText="1"/>
    </x:xf>
    <x:xf numFmtId="0" fontId="12" fillId="0" borderId="11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d4eb98a5244292" /><Relationship Type="http://schemas.openxmlformats.org/officeDocument/2006/relationships/theme" Target="/xl/theme/theme1.xml" Id="Rd129eb6ef9dd4847" /><Relationship Type="http://schemas.openxmlformats.org/officeDocument/2006/relationships/sharedStrings" Target="/xl/sharedStrings.xml" Id="Rb1137cc2cde64f3c" /><Relationship Type="http://schemas.openxmlformats.org/officeDocument/2006/relationships/worksheet" Target="/xl/worksheets/sheet1.xml" Id="R818cdda49d224add" /><Relationship Type="http://schemas.openxmlformats.org/officeDocument/2006/relationships/worksheet" Target="/xl/worksheets/sheet2.xml" Id="R839de38830614785" /><Relationship Type="http://schemas.openxmlformats.org/officeDocument/2006/relationships/worksheet" Target="/xl/worksheets/sheet3.xml" Id="R4ff55137447f4f3c" /><Relationship Type="http://schemas.openxmlformats.org/officeDocument/2006/relationships/worksheet" Target="/xl/worksheets/sheet4.xml" Id="R78618d3ed62b425b" /><Relationship Type="http://schemas.openxmlformats.org/officeDocument/2006/relationships/worksheet" Target="/xl/worksheets/sheet5.xml" Id="Rd0cf15a4ca0e46e1" /><Relationship Type="http://schemas.openxmlformats.org/officeDocument/2006/relationships/worksheet" Target="/xl/worksheets/sheet6.xml" Id="R3db9047012f34629" /><Relationship Type="http://schemas.openxmlformats.org/officeDocument/2006/relationships/worksheet" Target="/xl/worksheets/sheet7.xml" Id="R625ea66b250f49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930fac5f4442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Recommended capacity endpoints (not demand)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Month-12 capacity</c:v>
          </c:tx>
          <c:cat>
            <c:strRef>
              <c:f>'Summary'!$F$14:$F$16</c:f>
              <c:strCache>
                <c:ptCount val="0"/>
              </c:strCache>
            </c:strRef>
          </c:cat>
          <c:val>
            <c:numRef>
              <c:f>'Summary'!$G$14:$G$16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930fac5f4442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3e7633034245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1.600000381469727" hidden="0" customHeight="1">
      <x:c r="A1" s="4" t="str">
        <x:v>MAWID | موعد — Evidence-Gated Financial Model</x:v>
      </x:c>
      <x:c r="B1" s="4" t="str">
        <x:v>MAWID | موعد — Evidence-Gated Financial Model</x:v>
      </x:c>
      <x:c r="C1" s="4" t="str">
        <x:v>MAWID | موعد — Evidence-Gated Financial Model</x:v>
      </x:c>
      <x:c r="D1" s="4" t="str">
        <x:v>MAWID | موعد — Evidence-Gated Financial Model</x:v>
      </x:c>
      <x:c r="E1" s="4" t="str">
        <x:v>MAWID | موعد — Evidence-Gated Financial Model</x:v>
      </x:c>
      <x:c r="F1" s="4" t="str">
        <x:v>MAWID | موعد — Evidence-Gated Financial Model</x:v>
      </x:c>
      <x:c r="G1" s="4" t="str">
        <x:v>MAWID | موعد — Evidence-Gated Financial Model</x:v>
      </x:c>
      <x:c r="H1" s="4" t="str">
        <x:v>MAWID | موعد — Evidence-Gated Financial Model</x:v>
      </x:c>
      <x:c r="I1" s="4" t="str">
        <x:v>MAWID | موعد — Evidence-Gated Financial Model</x:v>
      </x:c>
      <x:c r="J1" s="4" t="str">
        <x:v>MAWID | موعد — Evidence-Gated Financial Model</x:v>
      </x:c>
      <x:c r="K1" s="4" t="str">
        <x:v>MAWID | موعد — Evidence-Gated Financial Model</x:v>
      </x:c>
      <x:c r="L1" s="4" t="str">
        <x:v>MAWID | موعد — Evidence-Gated Financial Model</x:v>
      </x:c>
      <x:c r="M1" s="4" t="str">
        <x:v>MAWID | موعد — Evidence-Gated Financial Model</x:v>
      </x:c>
      <x:c r="N1" s="4" t="str">
        <x:v>MAWID | موعد — Evidence-Gated Financial Model</x:v>
      </x:c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8" t="str">
        <x:v>Local draft only • 12-month capacity and financial planning shell • Monetary outputs remain blocked until sourced inputs are entered.</x:v>
      </x:c>
      <x:c r="B2" s="8" t="str">
        <x:v>Local draft only • 12-month capacity and financial planning shell • Monetary outputs remain blocked until sourced inputs are entered.</x:v>
      </x:c>
      <x:c r="C2" s="8" t="str">
        <x:v>Local draft only • 12-month capacity and financial planning shell • Monetary outputs remain blocked until sourced inputs are entered.</x:v>
      </x:c>
      <x:c r="D2" s="8" t="str">
        <x:v>Local draft only • 12-month capacity and financial planning shell • Monetary outputs remain blocked until sourced inputs are entered.</x:v>
      </x:c>
      <x:c r="E2" s="8" t="str">
        <x:v>Local draft only • 12-month capacity and financial planning shell • Monetary outputs remain blocked until sourced inputs are entered.</x:v>
      </x:c>
      <x:c r="F2" s="8" t="str">
        <x:v>Local draft only • 12-month capacity and financial planning shell • Monetary outputs remain blocked until sourced inputs are entered.</x:v>
      </x:c>
      <x:c r="G2" s="8" t="str">
        <x:v>Local draft only • 12-month capacity and financial planning shell • Monetary outputs remain blocked until sourced inputs are entered.</x:v>
      </x:c>
      <x:c r="H2" s="8" t="str">
        <x:v>Local draft only • 12-month capacity and financial planning shell • Monetary outputs remain blocked until sourced inputs are entered.</x:v>
      </x:c>
      <x:c r="I2" s="8" t="str">
        <x:v>Local draft only • 12-month capacity and financial planning shell • Monetary outputs remain blocked until sourced inputs are entered.</x:v>
      </x:c>
      <x:c r="J2" s="8" t="str">
        <x:v>Local draft only • 12-month capacity and financial planning shell • Monetary outputs remain blocked until sourced inputs are entered.</x:v>
      </x:c>
      <x:c r="K2" s="8" t="str">
        <x:v>Local draft only • 12-month capacity and financial planning shell • Monetary outputs remain blocked until sourced inputs are entered.</x:v>
      </x:c>
      <x:c r="L2" s="8" t="str">
        <x:v>Local draft only • 12-month capacity and financial planning shell • Monetary outputs remain blocked until sourced inputs are entered.</x:v>
      </x:c>
      <x:c r="M2" s="8" t="str">
        <x:v>Local draft only • 12-month capacity and financial planning shell • Monetary outputs remain blocked until sourced inputs are entered.</x:v>
      </x:c>
      <x:c r="N2" s="8" t="str">
        <x:v>Local draft only • 12-month capacity and financial planning shell • Monetary outputs remain blocked until sourced inputs are entered.</x:v>
      </x:c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8" t="str">
        <x:v>Local draft only • 12-month capacity and financial planning shell • Monetary outputs remain blocked until sourced inputs are entered.</x:v>
      </x:c>
      <x:c r="B3" s="8" t="str">
        <x:v>Local draft only • 12-month capacity and financial planning shell • Monetary outputs remain blocked until sourced inputs are entered.</x:v>
      </x:c>
      <x:c r="C3" s="8" t="str">
        <x:v>Local draft only • 12-month capacity and financial planning shell • Monetary outputs remain blocked until sourced inputs are entered.</x:v>
      </x:c>
      <x:c r="D3" s="8" t="str">
        <x:v>Local draft only • 12-month capacity and financial planning shell • Monetary outputs remain blocked until sourced inputs are entered.</x:v>
      </x:c>
      <x:c r="E3" s="8" t="str">
        <x:v>Local draft only • 12-month capacity and financial planning shell • Monetary outputs remain blocked until sourced inputs are entered.</x:v>
      </x:c>
      <x:c r="F3" s="8" t="str">
        <x:v>Local draft only • 12-month capacity and financial planning shell • Monetary outputs remain blocked until sourced inputs are entered.</x:v>
      </x:c>
      <x:c r="G3" s="8" t="str">
        <x:v>Local draft only • 12-month capacity and financial planning shell • Monetary outputs remain blocked until sourced inputs are entered.</x:v>
      </x:c>
      <x:c r="H3" s="8" t="str">
        <x:v>Local draft only • 12-month capacity and financial planning shell • Monetary outputs remain blocked until sourced inputs are entered.</x:v>
      </x:c>
      <x:c r="I3" s="8" t="str">
        <x:v>Local draft only • 12-month capacity and financial planning shell • Monetary outputs remain blocked until sourced inputs are entered.</x:v>
      </x:c>
      <x:c r="J3" s="8" t="str">
        <x:v>Local draft only • 12-month capacity and financial planning shell • Monetary outputs remain blocked until sourced inputs are entered.</x:v>
      </x:c>
      <x:c r="K3" s="8" t="str">
        <x:v>Local draft only • 12-month capacity and financial planning shell • Monetary outputs remain blocked until sourced inputs are entered.</x:v>
      </x:c>
      <x:c r="L3" s="8" t="str">
        <x:v>Local draft only • 12-month capacity and financial planning shell • Monetary outputs remain blocked until sourced inputs are entered.</x:v>
      </x:c>
      <x:c r="M3" s="8" t="str">
        <x:v>Local draft only • 12-month capacity and financial planning shell • Monetary outputs remain blocked until sourced inputs are entered.</x:v>
      </x:c>
      <x:c r="N3" s="8" t="str">
        <x:v>Local draft only • 12-month capacity and financial planning shell • Monetary outputs remain blocked until sourced inputs are entered.</x:v>
      </x:c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20" t="str">
        <x:v>Selected scenario</x:v>
      </x:c>
      <x:c r="B4" s="32" t="str">
        <x:f>Assumptions!B3</x:f>
        <x:v>Base</x:v>
      </x:c>
      <x:c r="C4" s="1"/>
      <x:c r="D4" s="43" t="str">
        <x:v>Decision guardrails</x:v>
      </x:c>
      <x:c r="E4" s="71" t="str">
        <x:v>Decision guardrails</x:v>
      </x:c>
      <x:c r="F4" s="71" t="str">
        <x:v>Decision guardrails</x:v>
      </x:c>
      <x:c r="G4" s="44" t="str">
        <x:v>Decision guardrails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4" hidden="0" customHeight="1">
      <x:c r="A5" s="21" t="str">
        <x:v>Evidence posture</x:v>
      </x:c>
      <x:c r="B5" s="33" t="str">
        <x:v>No validated price, costs, demand, churn, or cash inputs</x:v>
      </x:c>
      <x:c r="C5" s="1"/>
      <x:c r="D5" s="80" t="str">
        <x:v>Confirmed: capacity endpoints are planning cases only, not demand or market share.</x:v>
      </x:c>
      <x:c r="E5" s="81"/>
      <x:c r="F5" s="81"/>
      <x:c r="G5" s="82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6.399999618530273" hidden="0" customHeight="1">
      <x:c r="A6" s="22" t="str">
        <x:v>Model status</x:v>
      </x:c>
      <x:c r="B6" s="36" t="str">
        <x:f>IF(Checks!D16="PASS","CALCULABLE — ILLUSTRATIVE SCENARIO, NOT A FORECAST","BLOCKED — MISSING OR UNVERIFIED INPUTS")</x:f>
        <x:v>BLOCKED — MISSING OR UNVERIFIED INPUTS</x:v>
      </x:c>
      <x:c r="C6" s="1"/>
      <x:c r="D6" s="83" t="str">
        <x:v>Missing: MAWID price, costs, ramp, churn, collections, opening cash, FX, and tax treatment.</x:v>
      </x:c>
      <x:c r="E6" s="84"/>
      <x:c r="F6" s="84"/>
      <x:c r="G6" s="85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1"/>
      <x:c r="B7" s="1"/>
      <x:c r="C7" s="1"/>
      <x:c r="D7" s="83" t="str">
        <x:v>Recommended: enter 0 explicitly only when a reviewed business rule supports zero.</x:v>
      </x:c>
      <x:c r="E7" s="84"/>
      <x:c r="F7" s="84"/>
      <x:c r="G7" s="85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43" t="str">
        <x:v>Selected-scenario output</x:v>
      </x:c>
      <x:c r="B8" s="44" t="str">
        <x:v>Result</x:v>
      </x:c>
      <x:c r="C8" s="1"/>
      <x:c r="D8" s="83" t="str">
        <x:v>Recommended: keep competitor list prices isolated from MAWID revenue formulas.</x:v>
      </x:c>
      <x:c r="E8" s="84"/>
      <x:c r="F8" s="84"/>
      <x:c r="G8" s="85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4" hidden="0" customHeight="1">
      <x:c r="A9" s="57" t="str">
        <x:v>Month-12 active workspaces</x:v>
      </x:c>
      <x:c r="B9" s="63" t="str">
        <x:f>IF(Checks!D16&lt;&gt;"PASS","N/A — Blocked by evidence controls",IF(Assumptions!B3="Downside",Capacity_Ramp!E16,IF(Assumptions!B3="Base",Capacity_Ramp!J16,IF(Assumptions!B3="Upside",Capacity_Ramp!O16,""))))</x:f>
        <x:v>N/A — Blocked by evidence controls</x:v>
      </x:c>
      <x:c r="C9" s="1"/>
      <x:c r="D9" s="83" t="str">
        <x:v>Confirmed: marketplace, hardware/signage, advertising, payments, POS, payroll, inventory, and bespoke apps are excluded.</x:v>
      </x:c>
      <x:c r="E9" s="84"/>
      <x:c r="F9" s="84"/>
      <x:c r="G9" s="85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59" t="str">
        <x:v>Year-one recognized revenue (USD)</x:v>
      </x:c>
      <x:c r="B10" s="66" t="str">
        <x:f>IF(Checks!D16&lt;&gt;"PASS","N/A — Blocked by evidence controls",IF(COUNT(Forecast!H5:H16)=12,SUM(Forecast!H5:H16),"N/A — Missing input"))</x:f>
        <x:v>N/A — Blocked by evidence controls</x:v>
      </x:c>
      <x:c r="C10" s="1"/>
      <x:c r="D10" s="86" t="str">
        <x:v>Missing: numeric revenue, break-even, runway, and cash need are not decision-ready.</x:v>
      </x:c>
      <x:c r="E10" s="87"/>
      <x:c r="F10" s="87"/>
      <x:c r="G10" s="88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59" t="str">
        <x:v>Year-one operating result (USD)</x:v>
      </x:c>
      <x:c r="B11" s="66" t="str">
        <x:f>IF(Checks!D16&lt;&gt;"PASS","N/A — Blocked by evidence controls",IF(COUNT(Forecast!M5:M16)=12,SUM(Forecast!M5:M16),"N/A — Missing input"))</x:f>
        <x:v>N/A — Blocked by evidence controls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59" t="str">
        <x:v>Ending cash (USD)</x:v>
      </x:c>
      <x:c r="B12" s="66" t="str">
        <x:f>IF(Checks!D16&lt;&gt;"PASS","N/A — Blocked by evidence controls",IF(ISNUMBER(Forecast!R16),Forecast!R16,"N/A — Missing input"))</x:f>
        <x:v>N/A — Blocked by evidence controls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59" t="str">
        <x:v>Illustrative cash need (USD)</x:v>
      </x:c>
      <x:c r="B13" s="66" t="str">
        <x:f>IF(Checks!D16&lt;&gt;"PASS","N/A — Blocked by evidence controls",IF(OR(COUNT(Forecast!R5:R16)&lt;&gt;12,NOT(ISNUMBER(Forecast!T2))),"N/A — Missing input",MAX(0,Forecast!T2-MIN(Forecast!R5:R16))))</x:f>
        <x:v>N/A — Blocked by evidence controls</x:v>
      </x:c>
      <x:c r="C13" s="1"/>
      <x:c r="D13" s="1"/>
      <x:c r="E13" s="1"/>
      <x:c r="F13" s="43" t="str">
        <x:v>Scenario</x:v>
      </x:c>
      <x:c r="G13" s="44" t="str">
        <x:v>Month-12 capacity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59" t="str">
        <x:v>Recurring break-even workspaces</x:v>
      </x:c>
      <x:c r="B14" s="66" t="str">
        <x:f>IF(Checks!D16&lt;&gt;"PASS","N/A — Blocked by evidence controls",IF(AND(ISNUMBER(Forecast!D5),ISNUMBER(Forecast!I5),ISNUMBER(Forecast!K5)),IF(Forecast!D5-Forecast!I5&lt;=0,"No break-even",Forecast!K5/(Forecast!D5-Forecast!I5)),"N/A — Missing input"))</x:f>
        <x:v>N/A — Blocked by evidence controls</x:v>
      </x:c>
      <x:c r="C14" s="1"/>
      <x:c r="D14" s="1"/>
      <x:c r="E14" s="1"/>
      <x:c r="F14" s="57" t="str">
        <x:v>Downside</x:v>
      </x:c>
      <x:c r="G14" s="58" t="n">
        <x:v>6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61" t="str">
        <x:v>Year-one cash receipts (USD)</x:v>
      </x:c>
      <x:c r="B15" s="67" t="str">
        <x:f>IF(Checks!D16&lt;&gt;"PASS","N/A — Blocked by evidence controls",IF(COUNT(Forecast!N5:N16)=12,SUM(Forecast!N5:N16),"N/A — Missing input"))</x:f>
        <x:v>N/A — Blocked by evidence controls</x:v>
      </x:c>
      <x:c r="C15" s="1"/>
      <x:c r="D15" s="1"/>
      <x:c r="E15" s="1"/>
      <x:c r="F15" s="59" t="str">
        <x:v>Base</x:v>
      </x:c>
      <x:c r="G15" s="60" t="n">
        <x:v>12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1"/>
      <x:c r="B16" s="1"/>
      <x:c r="C16" s="1"/>
      <x:c r="D16" s="1"/>
      <x:c r="E16" s="1"/>
      <x:c r="F16" s="61" t="str">
        <x:v>Upside</x:v>
      </x:c>
      <x:c r="G16" s="62" t="n">
        <x:v>24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08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B17" s="109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C17" s="109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D17" s="109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E17" s="109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F17" s="109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G17" s="110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111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B18" s="112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C18" s="112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D18" s="112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E18" s="112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F18" s="112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G18" s="113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11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B19" s="112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C19" s="112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D19" s="112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E19" s="112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F19" s="112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G19" s="113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14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B20" s="115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C20" s="115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D20" s="115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E20" s="115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F20" s="115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G20" s="116" t="str">
        <x:v>Recommended next evidence: approve a defined pilot offer; collect de-identified customer workflow evidence; source production vendor costs and support effort; confirm billing, collections, cash, FX, and Lebanese tax treatment before using monetary outputs.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N1"/>
    <x:mergeCell ref="A2:N3"/>
    <x:mergeCell ref="D4:G4"/>
    <x:mergeCell ref="D5:G5"/>
    <x:mergeCell ref="D6:G6"/>
    <x:mergeCell ref="D7:G7"/>
    <x:mergeCell ref="D8:G8"/>
    <x:mergeCell ref="D9:G9"/>
    <x:mergeCell ref="D10:G10"/>
    <x:mergeCell ref="A17:G20"/>
  </x:mergeCells>
  <x:pageMargins left="0.7" right="0.7" top="0.75" bottom="0.75" header="0.3" footer="0.3"/>
  <x:drawing xmlns:r="http://schemas.openxmlformats.org/officeDocument/2006/relationships" r:id="Rad3e76330342453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  <x:col min="8" max="8" width="34" hidden="0" customWidth="1"/>
  </x:cols>
  <x:sheetData>
    <x:row r="1" ht="21.600000381469727" hidden="0" customHeight="1">
      <x:c r="A1" s="4" t="str">
        <x:v>Assumptions and Evidence Register</x:v>
      </x:c>
      <x:c r="B1" s="4" t="str">
        <x:v>Assumptions and Evidence Register</x:v>
      </x:c>
      <x:c r="C1" s="4" t="str">
        <x:v>Assumptions and Evidence Register</x:v>
      </x:c>
      <x:c r="D1" s="4" t="str">
        <x:v>Assumptions and Evidence Register</x:v>
      </x:c>
      <x:c r="E1" s="4" t="str">
        <x:v>Assumptions and Evidence Register</x:v>
      </x:c>
      <x:c r="F1" s="4" t="str">
        <x:v>Assumptions and Evidence Register</x:v>
      </x:c>
      <x:c r="G1" s="4" t="str">
        <x:v>Assumptions and Evidence Register</x:v>
      </x:c>
      <x:c r="H1" s="4" t="str">
        <x:v>Assumptions and Evidence Register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8" t="str">
        <x:v>Blue cells are editable inputs. INPUT REQUIRED is not zero. Populate only with a cited source or founder-approved illustrative assumption and date.</x:v>
      </x:c>
      <x:c r="B2" s="8" t="str">
        <x:v>Blue cells are editable inputs. INPUT REQUIRED is not zero. Populate only with a cited source or founder-approved illustrative assumption and date.</x:v>
      </x:c>
      <x:c r="C2" s="8" t="str">
        <x:v>Blue cells are editable inputs. INPUT REQUIRED is not zero. Populate only with a cited source or founder-approved illustrative assumption and date.</x:v>
      </x:c>
      <x:c r="D2" s="8" t="str">
        <x:v>Blue cells are editable inputs. INPUT REQUIRED is not zero. Populate only with a cited source or founder-approved illustrative assumption and date.</x:v>
      </x:c>
      <x:c r="E2" s="8" t="str">
        <x:v>Blue cells are editable inputs. INPUT REQUIRED is not zero. Populate only with a cited source or founder-approved illustrative assumption and date.</x:v>
      </x:c>
      <x:c r="F2" s="8" t="str">
        <x:v>Blue cells are editable inputs. INPUT REQUIRED is not zero. Populate only with a cited source or founder-approved illustrative assumption and date.</x:v>
      </x:c>
      <x:c r="G2" s="8" t="str">
        <x:v>Blue cells are editable inputs. INPUT REQUIRED is not zero. Populate only with a cited source or founder-approved illustrative assumption and date.</x:v>
      </x:c>
      <x:c r="H2" s="8" t="str">
        <x:v>Blue cells are editable inputs. INPUT REQUIRED is not zero. Populate only with a cited source or founder-approved illustrative assumption and date.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120" t="str">
        <x:v>Scenario selector</x:v>
      </x:c>
      <x:c r="B3" s="123" t="str">
        <x:v>Base</x:v>
      </x:c>
      <x:c r="C3" s="8" t="str">
        <x:v>Blue cells are editable inputs. INPUT REQUIRED is not zero. Populate only with a cited source or founder-approved illustrative assumption and date.</x:v>
      </x:c>
      <x:c r="D3" s="8" t="str">
        <x:v>Blue cells are editable inputs. INPUT REQUIRED is not zero. Populate only with a cited source or founder-approved illustrative assumption and date.</x:v>
      </x:c>
      <x:c r="E3" s="8" t="str">
        <x:v>Blue cells are editable inputs. INPUT REQUIRED is not zero. Populate only with a cited source or founder-approved illustrative assumption and date.</x:v>
      </x:c>
      <x:c r="F3" s="8" t="str">
        <x:v>Blue cells are editable inputs. INPUT REQUIRED is not zero. Populate only with a cited source or founder-approved illustrative assumption and date.</x:v>
      </x:c>
      <x:c r="G3" s="8" t="str">
        <x:v>Blue cells are editable inputs. INPUT REQUIRED is not zero. Populate only with a cited source or founder-approved illustrative assumption and date.</x:v>
      </x:c>
      <x:c r="H3" s="8" t="str">
        <x:v>Blue cells are editable inputs. INPUT REQUIRED is not zero. Populate only with a cited source or founder-approved illustrative assumption and date.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43" t="str">
        <x:v>Assumption</x:v>
      </x:c>
      <x:c r="B5" s="71" t="str">
        <x:v>Unit</x:v>
      </x:c>
      <x:c r="C5" s="71" t="str">
        <x:v>Evidence label</x:v>
      </x:c>
      <x:c r="D5" s="71" t="str">
        <x:v>Downside</x:v>
      </x:c>
      <x:c r="E5" s="71" t="str">
        <x:v>Base</x:v>
      </x:c>
      <x:c r="F5" s="71" t="str">
        <x:v>Upside</x:v>
      </x:c>
      <x:c r="G5" s="71" t="str">
        <x:v>Source / owner</x:v>
      </x:c>
      <x:c r="H5" s="44" t="str">
        <x:v>Promotion condition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4" hidden="0" customHeight="1">
      <x:c r="A6" s="57" t="str">
        <x:v>Month-12 active workspaces</x:v>
      </x:c>
      <x:c r="B6" s="77" t="str">
        <x:v>workspaces</x:v>
      </x:c>
      <x:c r="C6" s="77" t="str">
        <x:v>Recommended</x:v>
      </x:c>
      <x:c r="D6" s="136" t="n">
        <x:v>6</x:v>
      </x:c>
      <x:c r="E6" s="137" t="n">
        <x:v>12</x:v>
      </x:c>
      <x:c r="F6" s="138" t="n">
        <x:v>24</x:v>
      </x:c>
      <x:c r="G6" s="77" t="str">
        <x:v>Founder / capacity planning case</x:v>
      </x:c>
      <x:c r="H6" s="58" t="str">
        <x:v>Replace with observed onboarding/support capacity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4" hidden="0" customHeight="1">
      <x:c r="A7" s="59" t="str">
        <x:v>Monthly subscription price per active workspace</x:v>
      </x:c>
      <x:c r="B7" s="78" t="str">
        <x:v>USD/workspace-month</x:v>
      </x:c>
      <x:c r="C7" s="78" t="str">
        <x:v>Missing</x:v>
      </x:c>
      <x:c r="D7" s="139" t="str">
        <x:v>INPUT REQUIRED</x:v>
      </x:c>
      <x:c r="E7" s="140" t="str">
        <x:v>INPUT REQUIRED</x:v>
      </x:c>
      <x:c r="F7" s="141" t="str">
        <x:v>INPUT REQUIRED</x:v>
      </x:c>
      <x:c r="G7" s="78" t="str">
        <x:v>Product + founder</x:v>
      </x:c>
      <x:c r="H7" s="60" t="str">
        <x:v>Defined offer plus documented commercial evidence or dated illustrative approval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4" hidden="0" customHeight="1">
      <x:c r="A8" s="59" t="str">
        <x:v>One-time setup fee per activation</x:v>
      </x:c>
      <x:c r="B8" s="78" t="str">
        <x:v>USD/activation</x:v>
      </x:c>
      <x:c r="C8" s="78" t="str">
        <x:v>Missing</x:v>
      </x:c>
      <x:c r="D8" s="139" t="str">
        <x:v>INPUT REQUIRED</x:v>
      </x:c>
      <x:c r="E8" s="140" t="str">
        <x:v>INPUT REQUIRED</x:v>
      </x:c>
      <x:c r="F8" s="141" t="str">
        <x:v>INPUT REQUIRED</x:v>
      </x:c>
      <x:c r="G8" s="78" t="str">
        <x:v>Product + founder</x:v>
      </x:c>
      <x:c r="H8" s="60" t="str">
        <x:v>Approved offer; enter 0 only if setup fee is explicitly excluded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59" t="str">
        <x:v>Variable service cost per active workspace</x:v>
      </x:c>
      <x:c r="B9" s="78" t="str">
        <x:v>USD/workspace-month</x:v>
      </x:c>
      <x:c r="C9" s="78" t="str">
        <x:v>Missing</x:v>
      </x:c>
      <x:c r="D9" s="139" t="str">
        <x:v>INPUT REQUIRED</x:v>
      </x:c>
      <x:c r="E9" s="140" t="str">
        <x:v>INPUT REQUIRED</x:v>
      </x:c>
      <x:c r="F9" s="141" t="str">
        <x:v>INPUT REQUIRED</x:v>
      </x:c>
      <x:c r="G9" s="78" t="str">
        <x:v>Engineering / operations</x:v>
      </x:c>
      <x:c r="H9" s="60" t="str">
        <x:v>Vendor quote or measured pilot service cost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59" t="str">
        <x:v>Fixed monthly operating cash cost</x:v>
      </x:c>
      <x:c r="B10" s="78" t="str">
        <x:v>USD/month</x:v>
      </x:c>
      <x:c r="C10" s="78" t="str">
        <x:v>Missing</x:v>
      </x:c>
      <x:c r="D10" s="139" t="str">
        <x:v>INPUT REQUIRED</x:v>
      </x:c>
      <x:c r="E10" s="140" t="str">
        <x:v>INPUT REQUIRED</x:v>
      </x:c>
      <x:c r="F10" s="141" t="str">
        <x:v>INPUT REQUIRED</x:v>
      </x:c>
      <x:c r="G10" s="78" t="str">
        <x:v>Founder / finance</x:v>
      </x:c>
      <x:c r="H10" s="60" t="str">
        <x:v>Approved operating budget with timing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59" t="str">
        <x:v>Opening cash</x:v>
      </x:c>
      <x:c r="B11" s="78" t="str">
        <x:v>USD</x:v>
      </x:c>
      <x:c r="C11" s="78" t="str">
        <x:v>Missing</x:v>
      </x:c>
      <x:c r="D11" s="139" t="str">
        <x:v>INPUT REQUIRED</x:v>
      </x:c>
      <x:c r="E11" s="140" t="str">
        <x:v>INPUT REQUIRED</x:v>
      </x:c>
      <x:c r="F11" s="141" t="str">
        <x:v>INPUT REQUIRED</x:v>
      </x:c>
      <x:c r="G11" s="78" t="str">
        <x:v>Founder / finance</x:v>
      </x:c>
      <x:c r="H11" s="60" t="str">
        <x:v>Confirmed planning cash balance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59" t="str">
        <x:v>Minimum cash buffer</x:v>
      </x:c>
      <x:c r="B12" s="78" t="str">
        <x:v>USD</x:v>
      </x:c>
      <x:c r="C12" s="78" t="str">
        <x:v>Missing</x:v>
      </x:c>
      <x:c r="D12" s="139" t="str">
        <x:v>INPUT REQUIRED</x:v>
      </x:c>
      <x:c r="E12" s="140" t="str">
        <x:v>INPUT REQUIRED</x:v>
      </x:c>
      <x:c r="F12" s="141" t="str">
        <x:v>INPUT REQUIRED</x:v>
      </x:c>
      <x:c r="G12" s="78" t="str">
        <x:v>Founder / finance</x:v>
      </x:c>
      <x:c r="H12" s="60" t="str">
        <x:v>Approved liquidity policy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59" t="str">
        <x:v>One-time production-readiness cash cost (Month 1)</x:v>
      </x:c>
      <x:c r="B13" s="78" t="str">
        <x:v>USD</x:v>
      </x:c>
      <x:c r="C13" s="78" t="str">
        <x:v>Missing</x:v>
      </x:c>
      <x:c r="D13" s="139" t="str">
        <x:v>INPUT REQUIRED</x:v>
      </x:c>
      <x:c r="E13" s="140" t="str">
        <x:v>INPUT REQUIRED</x:v>
      </x:c>
      <x:c r="F13" s="141" t="str">
        <x:v>INPUT REQUIRED</x:v>
      </x:c>
      <x:c r="G13" s="78" t="str">
        <x:v>Engineering / legal / operations</x:v>
      </x:c>
      <x:c r="H13" s="60" t="str">
        <x:v>Reviewed readiness estimate and timing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59" t="str">
        <x:v>Funding inflow (Month 1)</x:v>
      </x:c>
      <x:c r="B14" s="78" t="str">
        <x:v>USD</x:v>
      </x:c>
      <x:c r="C14" s="78" t="str">
        <x:v>Missing</x:v>
      </x:c>
      <x:c r="D14" s="139" t="str">
        <x:v>INPUT REQUIRED</x:v>
      </x:c>
      <x:c r="E14" s="140" t="str">
        <x:v>INPUT REQUIRED</x:v>
      </x:c>
      <x:c r="F14" s="141" t="str">
        <x:v>INPUT REQUIRED</x:v>
      </x:c>
      <x:c r="G14" s="78" t="str">
        <x:v>Founder / finance</x:v>
      </x:c>
      <x:c r="H14" s="60" t="str">
        <x:v>Approved financing input; enter 0 only if none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61" t="str">
        <x:v>Collection lag</x:v>
      </x:c>
      <x:c r="B15" s="79" t="str">
        <x:v>whole months: 0–2</x:v>
      </x:c>
      <x:c r="C15" s="79" t="str">
        <x:v>Missing</x:v>
      </x:c>
      <x:c r="D15" s="142" t="str">
        <x:v>INPUT REQUIRED</x:v>
      </x:c>
      <x:c r="E15" s="143" t="str">
        <x:v>INPUT REQUIRED</x:v>
      </x:c>
      <x:c r="F15" s="144" t="str">
        <x:v>INPUT REQUIRED</x:v>
      </x:c>
      <x:c r="G15" s="79" t="str">
        <x:v>Finance / legal</x:v>
      </x:c>
      <x:c r="H15" s="62" t="str">
        <x:v>Approved billing and collection terms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43" t="str">
        <x:v>Official competitor list-price context — isolated and not linked to MAWID formulas</x:v>
      </x:c>
      <x:c r="B18" s="71" t="str">
        <x:v>Official competitor list-price context — isolated and not linked to MAWID formulas</x:v>
      </x:c>
      <x:c r="C18" s="71" t="str">
        <x:v>Official competitor list-price context — isolated and not linked to MAWID formulas</x:v>
      </x:c>
      <x:c r="D18" s="71" t="str">
        <x:v>Official competitor list-price context — isolated and not linked to MAWID formulas</x:v>
      </x:c>
      <x:c r="E18" s="71" t="str">
        <x:v>Official competitor list-price context — isolated and not linked to MAWID formulas</x:v>
      </x:c>
      <x:c r="F18" s="71" t="str">
        <x:v>Official competitor list-price context — isolated and not linked to MAWID formulas</x:v>
      </x:c>
      <x:c r="G18" s="71" t="str">
        <x:v>Official competitor list-price context — isolated and not linked to MAWID formulas</x:v>
      </x:c>
      <x:c r="H18" s="44" t="str">
        <x:v>Official competitor list-price context — isolated and not linked to MAWID formulas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43" t="str">
        <x:v>Vendor</x:v>
      </x:c>
      <x:c r="B19" s="71" t="str">
        <x:v>Public list price captured</x:v>
      </x:c>
      <x:c r="C19" s="71" t="str">
        <x:v>Currency / locale</x:v>
      </x:c>
      <x:c r="D19" s="71" t="str">
        <x:v>Capture date</x:v>
      </x:c>
      <x:c r="E19" s="71" t="str">
        <x:v>Lebanon availability</x:v>
      </x:c>
      <x:c r="F19" s="71" t="str">
        <x:v>Arabic admin</x:v>
      </x:c>
      <x:c r="G19" s="71" t="str">
        <x:v>Arabic customer / RTL</x:v>
      </x:c>
      <x:c r="H19" s="44" t="str">
        <x:v>Official source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60" hidden="0" customHeight="1">
      <x:c r="A20" s="80" t="str">
        <x:v>Fresha</x:v>
      </x:c>
      <x:c r="B20" s="81" t="str">
        <x:v>Independent €14.95/month; Team €9.95/bookable team member/month; Enterprise custom</x:v>
      </x:c>
      <x:c r="C20" s="81" t="str">
        <x:v>EUR page returned</x:v>
      </x:c>
      <x:c r="D20" s="81" t="str">
        <x:v>2026-08-25</x:v>
      </x:c>
      <x:c r="E20" s="81" t="str">
        <x:v>Missing</x:v>
      </x:c>
      <x:c r="F20" s="81" t="str">
        <x:v>Missing</x:v>
      </x:c>
      <x:c r="G20" s="81" t="str">
        <x:v>Missing / Missing</x:v>
      </x:c>
      <x:c r="H20" s="82" t="str">
        <x:v>https://www.fresha.com/pricing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36" hidden="0" customHeight="1">
      <x:c r="A21" s="83" t="str">
        <x:v>Booksy</x:v>
      </x:c>
      <x:c r="B21" s="84" t="str">
        <x:v>US$29.99/month + tax; US$20/month each additional user</x:v>
      </x:c>
      <x:c r="C21" s="84" t="str">
        <x:v>US / USD</x:v>
      </x:c>
      <x:c r="D21" s="84" t="str">
        <x:v>2026-08-25</x:v>
      </x:c>
      <x:c r="E21" s="84" t="str">
        <x:v>Missing</x:v>
      </x:c>
      <x:c r="F21" s="84" t="str">
        <x:v>Missing</x:v>
      </x:c>
      <x:c r="G21" s="84" t="str">
        <x:v>Missing / Missing</x:v>
      </x:c>
      <x:c r="H21" s="85" t="str">
        <x:v>https://biz.booksy.com/pricing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48" hidden="0" customHeight="1">
      <x:c r="A22" s="86" t="str">
        <x:v>SimplyBook.me</x:v>
      </x:c>
      <x:c r="B22" s="87" t="str">
        <x:v>Monthly: Free $0; Basic $13.90; Standard $29.90; Premium $59.90; Enterprise custom</x:v>
      </x:c>
      <x:c r="C22" s="87" t="str">
        <x:v>English page / USD</x:v>
      </x:c>
      <x:c r="D22" s="87" t="str">
        <x:v>2026-08-25</x:v>
      </x:c>
      <x:c r="E22" s="87" t="str">
        <x:v>Missing</x:v>
      </x:c>
      <x:c r="F22" s="87" t="str">
        <x:v>Missing</x:v>
      </x:c>
      <x:c r="G22" s="87" t="str">
        <x:v>Missing / Missing</x:v>
      </x:c>
      <x:c r="H22" s="88" t="str">
        <x:v>https://simplybook.me/en/pricing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H1"/>
    <x:mergeCell ref="A2:H3"/>
    <x:mergeCell ref="A18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28" hidden="0" customWidth="1"/>
    <x:col min="4" max="4" width="18" hidden="0" customWidth="1"/>
    <x:col min="5" max="5" width="30" hidden="0" customWidth="1"/>
    <x:col min="6" max="6" width="30" hidden="0" customWidth="1"/>
    <x:col min="7" max="7" width="30" hidden="0" customWidth="1"/>
    <x:col min="8" max="8" width="20" hidden="0" customWidth="1"/>
    <x:col min="9" max="9" width="20" hidden="0" customWidth="1"/>
  </x:cols>
  <x:sheetData>
    <x:row r="1" ht="21.600000381469727" hidden="0" customHeight="1">
      <x:c r="A1" s="4" t="str">
        <x:v>Scenario Input Provenance</x:v>
      </x:c>
      <x:c r="B1" s="4" t="str">
        <x:v>Scenario Input Provenance</x:v>
      </x:c>
      <x:c r="C1" s="4" t="str">
        <x:v>Scenario Input Provenance</x:v>
      </x:c>
      <x:c r="D1" s="4" t="str">
        <x:v>Scenario Input Provenance</x:v>
      </x:c>
      <x:c r="E1" s="4" t="str">
        <x:v>Scenario Input Provenance</x:v>
      </x:c>
      <x:c r="F1" s="4" t="str">
        <x:v>Scenario Input Provenance</x:v>
      </x:c>
      <x:c r="G1" s="4" t="str">
        <x:v>Scenario Input Provenance</x:v>
      </x:c>
      <x:c r="H1" s="4" t="str">
        <x:v>Scenario Input Provenance</x:v>
      </x:c>
      <x:c r="I1" s="4" t="str">
        <x:v>Scenario Input Provenance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8" t="str">
        <x:v>Every selected-scenario input must be numeric and have a permitted evidence label, source/owner, as-of date, and approval or promotion basis. Synthetic QA entries are never exported into this workbook.</x:v>
      </x:c>
      <x:c r="B2" s="8" t="str">
        <x:v>Every selected-scenario input must be numeric and have a permitted evidence label, source/owner, as-of date, and approval or promotion basis. Synthetic QA entries are never exported into this workbook.</x:v>
      </x:c>
      <x:c r="C2" s="8" t="str">
        <x:v>Every selected-scenario input must be numeric and have a permitted evidence label, source/owner, as-of date, and approval or promotion basis. Synthetic QA entries are never exported into this workbook.</x:v>
      </x:c>
      <x:c r="D2" s="8" t="str">
        <x:v>Every selected-scenario input must be numeric and have a permitted evidence label, source/owner, as-of date, and approval or promotion basis. Synthetic QA entries are never exported into this workbook.</x:v>
      </x:c>
      <x:c r="E2" s="8" t="str">
        <x:v>Every selected-scenario input must be numeric and have a permitted evidence label, source/owner, as-of date, and approval or promotion basis. Synthetic QA entries are never exported into this workbook.</x:v>
      </x:c>
      <x:c r="F2" s="8" t="str">
        <x:v>Every selected-scenario input must be numeric and have a permitted evidence label, source/owner, as-of date, and approval or promotion basis. Synthetic QA entries are never exported into this workbook.</x:v>
      </x:c>
      <x:c r="G2" s="8" t="str">
        <x:v>Every selected-scenario input must be numeric and have a permitted evidence label, source/owner, as-of date, and approval or promotion basis. Synthetic QA entries are never exported into this workbook.</x:v>
      </x:c>
      <x:c r="H2" s="8" t="str">
        <x:v>Every selected-scenario input must be numeric and have a permitted evidence label, source/owner, as-of date, and approval or promotion basis. Synthetic QA entries are never exported into this workbook.</x:v>
      </x:c>
      <x:c r="I2" s="8" t="str">
        <x:v>Every selected-scenario input must be numeric and have a permitted evidence label, source/owner, as-of date, and approval or promotion basis. Synthetic QA entries are never exported into this workbook.</x:v>
      </x:c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8" t="str">
        <x:v>Every selected-scenario input must be numeric and have a permitted evidence label, source/owner, as-of date, and approval or promotion basis. Synthetic QA entries are never exported into this workbook.</x:v>
      </x:c>
      <x:c r="B3" s="8" t="str">
        <x:v>Every selected-scenario input must be numeric and have a permitted evidence label, source/owner, as-of date, and approval or promotion basis. Synthetic QA entries are never exported into this workbook.</x:v>
      </x:c>
      <x:c r="C3" s="8" t="str">
        <x:v>Every selected-scenario input must be numeric and have a permitted evidence label, source/owner, as-of date, and approval or promotion basis. Synthetic QA entries are never exported into this workbook.</x:v>
      </x:c>
      <x:c r="D3" s="8" t="str">
        <x:v>Every selected-scenario input must be numeric and have a permitted evidence label, source/owner, as-of date, and approval or promotion basis. Synthetic QA entries are never exported into this workbook.</x:v>
      </x:c>
      <x:c r="E3" s="8" t="str">
        <x:v>Every selected-scenario input must be numeric and have a permitted evidence label, source/owner, as-of date, and approval or promotion basis. Synthetic QA entries are never exported into this workbook.</x:v>
      </x:c>
      <x:c r="F3" s="8" t="str">
        <x:v>Every selected-scenario input must be numeric and have a permitted evidence label, source/owner, as-of date, and approval or promotion basis. Synthetic QA entries are never exported into this workbook.</x:v>
      </x:c>
      <x:c r="G3" s="8" t="str">
        <x:v>Every selected-scenario input must be numeric and have a permitted evidence label, source/owner, as-of date, and approval or promotion basis. Synthetic QA entries are never exported into this workbook.</x:v>
      </x:c>
      <x:c r="H3" s="8" t="str">
        <x:v>Every selected-scenario input must be numeric and have a permitted evidence label, source/owner, as-of date, and approval or promotion basis. Synthetic QA entries are never exported into this workbook.</x:v>
      </x:c>
      <x:c r="I3" s="8" t="str">
        <x:v>Every selected-scenario input must be numeric and have a permitted evidence label, source/owner, as-of date, and approval or promotion basis. Synthetic QA entries are never exported into this workbook.</x:v>
      </x:c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43" t="str">
        <x:v>Input</x:v>
      </x:c>
      <x:c r="B4" s="71" t="str">
        <x:v>Scenario</x:v>
      </x:c>
      <x:c r="C4" s="71" t="str">
        <x:v>Workbook cells</x:v>
      </x:c>
      <x:c r="D4" s="71" t="str">
        <x:v>Evidence label</x:v>
      </x:c>
      <x:c r="E4" s="71" t="str">
        <x:v>Source / owner</x:v>
      </x:c>
      <x:c r="F4" s="71" t="str">
        <x:v>As-of date</x:v>
      </x:c>
      <x:c r="G4" s="71" t="str">
        <x:v>Approval / promotion basis</x:v>
      </x:c>
      <x:c r="H4" s="71" t="str">
        <x:v>Input completeness</x:v>
      </x:c>
      <x:c r="I4" s="44" t="str">
        <x:v>Provenance status</x:v>
      </x:c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57" t="str">
        <x:v>Month-12 active workspaces</x:v>
      </x:c>
      <x:c r="B5" s="77" t="str">
        <x:v>Downside</x:v>
      </x:c>
      <x:c r="C5" s="77" t="str">
        <x:v>Assumptions!D6</x:v>
      </x:c>
      <x:c r="D5" s="130" t="str">
        <x:v>Missing</x:v>
      </x:c>
      <x:c r="E5" s="127" t="str">
        <x:v>INPUT REQUIRED</x:v>
      </x:c>
      <x:c r="F5" s="127" t="str">
        <x:v>INPUT REQUIRED</x:v>
      </x:c>
      <x:c r="G5" s="131" t="str">
        <x:v>INPUT REQUIRED</x:v>
      </x:c>
      <x:c r="H5" s="145" t="str">
        <x:f>IF(ISNUMBER(Assumptions!D6),"POPULATED","INPUT REQUIRED")</x:f>
        <x:v>POPULATED</x:v>
      </x:c>
      <x:c r="I5" s="63" t="str">
        <x:f>IF(AND(H5="POPULATED",OR(D5="Confirmed",D5="Inferred",D5="Conflicting",D5="Recommended"),E5&lt;&gt;"INPUT REQUIRED",F5&lt;&gt;"INPUT REQUIRED",G5&lt;&gt;"INPUT REQUIRED"),"PASS","INPUT REQUIRED")</x:f>
        <x:v>INPUT REQUIRED</x:v>
      </x:c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59" t="str">
        <x:v>Monthly subscription price per active workspace</x:v>
      </x:c>
      <x:c r="B6" s="78" t="str">
        <x:v>Downside</x:v>
      </x:c>
      <x:c r="C6" s="78" t="str">
        <x:v>Assumptions!D7</x:v>
      </x:c>
      <x:c r="D6" s="132" t="str">
        <x:v>Missing</x:v>
      </x:c>
      <x:c r="E6" s="128" t="str">
        <x:v>INPUT REQUIRED</x:v>
      </x:c>
      <x:c r="F6" s="128" t="str">
        <x:v>INPUT REQUIRED</x:v>
      </x:c>
      <x:c r="G6" s="133" t="str">
        <x:v>INPUT REQUIRED</x:v>
      </x:c>
      <x:c r="H6" s="146" t="str">
        <x:f>IF(ISNUMBER(Assumptions!D7),"POPULATED","INPUT REQUIRED")</x:f>
        <x:v>INPUT REQUIRED</x:v>
      </x:c>
      <x:c r="I6" s="64" t="str">
        <x:f>IF(AND(H6="POPULATED",OR(D6="Confirmed",D6="Inferred",D6="Conflicting",D6="Recommended"),E6&lt;&gt;"INPUT REQUIRED",F6&lt;&gt;"INPUT REQUIRED",G6&lt;&gt;"INPUT REQUIRED"),"PASS","INPUT REQUIRED")</x:f>
        <x:v>INPUT REQUIRED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59" t="str">
        <x:v>One-time setup fee per activation</x:v>
      </x:c>
      <x:c r="B7" s="78" t="str">
        <x:v>Downside</x:v>
      </x:c>
      <x:c r="C7" s="78" t="str">
        <x:v>Assumptions!D8</x:v>
      </x:c>
      <x:c r="D7" s="132" t="str">
        <x:v>Missing</x:v>
      </x:c>
      <x:c r="E7" s="128" t="str">
        <x:v>INPUT REQUIRED</x:v>
      </x:c>
      <x:c r="F7" s="128" t="str">
        <x:v>INPUT REQUIRED</x:v>
      </x:c>
      <x:c r="G7" s="133" t="str">
        <x:v>INPUT REQUIRED</x:v>
      </x:c>
      <x:c r="H7" s="146" t="str">
        <x:f>IF(ISNUMBER(Assumptions!D8),"POPULATED","INPUT REQUIRED")</x:f>
        <x:v>INPUT REQUIRED</x:v>
      </x:c>
      <x:c r="I7" s="64" t="str">
        <x:f>IF(AND(H7="POPULATED",OR(D7="Confirmed",D7="Inferred",D7="Conflicting",D7="Recommended"),E7&lt;&gt;"INPUT REQUIRED",F7&lt;&gt;"INPUT REQUIRED",G7&lt;&gt;"INPUT REQUIRED"),"PASS","INPUT REQUIRED")</x:f>
        <x:v>INPUT REQUIRED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59" t="str">
        <x:v>Variable service cost per active workspace</x:v>
      </x:c>
      <x:c r="B8" s="78" t="str">
        <x:v>Downside</x:v>
      </x:c>
      <x:c r="C8" s="78" t="str">
        <x:v>Assumptions!D9</x:v>
      </x:c>
      <x:c r="D8" s="132" t="str">
        <x:v>Missing</x:v>
      </x:c>
      <x:c r="E8" s="128" t="str">
        <x:v>INPUT REQUIRED</x:v>
      </x:c>
      <x:c r="F8" s="128" t="str">
        <x:v>INPUT REQUIRED</x:v>
      </x:c>
      <x:c r="G8" s="133" t="str">
        <x:v>INPUT REQUIRED</x:v>
      </x:c>
      <x:c r="H8" s="146" t="str">
        <x:f>IF(ISNUMBER(Assumptions!D9),"POPULATED","INPUT REQUIRED")</x:f>
        <x:v>INPUT REQUIRED</x:v>
      </x:c>
      <x:c r="I8" s="64" t="str">
        <x:f>IF(AND(H8="POPULATED",OR(D8="Confirmed",D8="Inferred",D8="Conflicting",D8="Recommended"),E8&lt;&gt;"INPUT REQUIRED",F8&lt;&gt;"INPUT REQUIRED",G8&lt;&gt;"INPUT REQUIRED"),"PASS","INPUT REQUIRED")</x:f>
        <x:v>INPUT REQUIRED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59" t="str">
        <x:v>Fixed monthly operating cash cost</x:v>
      </x:c>
      <x:c r="B9" s="78" t="str">
        <x:v>Downside</x:v>
      </x:c>
      <x:c r="C9" s="78" t="str">
        <x:v>Assumptions!D10</x:v>
      </x:c>
      <x:c r="D9" s="132" t="str">
        <x:v>Missing</x:v>
      </x:c>
      <x:c r="E9" s="128" t="str">
        <x:v>INPUT REQUIRED</x:v>
      </x:c>
      <x:c r="F9" s="128" t="str">
        <x:v>INPUT REQUIRED</x:v>
      </x:c>
      <x:c r="G9" s="133" t="str">
        <x:v>INPUT REQUIRED</x:v>
      </x:c>
      <x:c r="H9" s="146" t="str">
        <x:f>IF(ISNUMBER(Assumptions!D10),"POPULATED","INPUT REQUIRED")</x:f>
        <x:v>INPUT REQUIRED</x:v>
      </x:c>
      <x:c r="I9" s="64" t="str">
        <x:f>IF(AND(H9="POPULATED",OR(D9="Confirmed",D9="Inferred",D9="Conflicting",D9="Recommended"),E9&lt;&gt;"INPUT REQUIRED",F9&lt;&gt;"INPUT REQUIRED",G9&lt;&gt;"INPUT REQUIRED"),"PASS","INPUT REQUIRED")</x:f>
        <x:v>INPUT REQUIRED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59" t="str">
        <x:v>Opening cash</x:v>
      </x:c>
      <x:c r="B10" s="78" t="str">
        <x:v>Downside</x:v>
      </x:c>
      <x:c r="C10" s="78" t="str">
        <x:v>Assumptions!D11</x:v>
      </x:c>
      <x:c r="D10" s="132" t="str">
        <x:v>Missing</x:v>
      </x:c>
      <x:c r="E10" s="128" t="str">
        <x:v>INPUT REQUIRED</x:v>
      </x:c>
      <x:c r="F10" s="128" t="str">
        <x:v>INPUT REQUIRED</x:v>
      </x:c>
      <x:c r="G10" s="133" t="str">
        <x:v>INPUT REQUIRED</x:v>
      </x:c>
      <x:c r="H10" s="146" t="str">
        <x:f>IF(ISNUMBER(Assumptions!D11),"POPULATED","INPUT REQUIRED")</x:f>
        <x:v>INPUT REQUIRED</x:v>
      </x:c>
      <x:c r="I10" s="64" t="str">
        <x:f>IF(AND(H10="POPULATED",OR(D10="Confirmed",D10="Inferred",D10="Conflicting",D10="Recommended"),E10&lt;&gt;"INPUT REQUIRED",F10&lt;&gt;"INPUT REQUIRED",G10&lt;&gt;"INPUT REQUIRED"),"PASS","INPUT REQUIRED")</x:f>
        <x:v>INPUT REQUIRED</x:v>
      </x:c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59" t="str">
        <x:v>Minimum cash buffer</x:v>
      </x:c>
      <x:c r="B11" s="78" t="str">
        <x:v>Downside</x:v>
      </x:c>
      <x:c r="C11" s="78" t="str">
        <x:v>Assumptions!D12</x:v>
      </x:c>
      <x:c r="D11" s="132" t="str">
        <x:v>Missing</x:v>
      </x:c>
      <x:c r="E11" s="128" t="str">
        <x:v>INPUT REQUIRED</x:v>
      </x:c>
      <x:c r="F11" s="128" t="str">
        <x:v>INPUT REQUIRED</x:v>
      </x:c>
      <x:c r="G11" s="133" t="str">
        <x:v>INPUT REQUIRED</x:v>
      </x:c>
      <x:c r="H11" s="146" t="str">
        <x:f>IF(ISNUMBER(Assumptions!D12),"POPULATED","INPUT REQUIRED")</x:f>
        <x:v>INPUT REQUIRED</x:v>
      </x:c>
      <x:c r="I11" s="64" t="str">
        <x:f>IF(AND(H11="POPULATED",OR(D11="Confirmed",D11="Inferred",D11="Conflicting",D11="Recommended"),E11&lt;&gt;"INPUT REQUIRED",F11&lt;&gt;"INPUT REQUIRED",G11&lt;&gt;"INPUT REQUIRED"),"PASS","INPUT REQUIRED")</x:f>
        <x:v>INPUT REQUIRED</x:v>
      </x:c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59" t="str">
        <x:v>One-time production-readiness cash cost (Month 1)</x:v>
      </x:c>
      <x:c r="B12" s="78" t="str">
        <x:v>Downside</x:v>
      </x:c>
      <x:c r="C12" s="78" t="str">
        <x:v>Assumptions!D13</x:v>
      </x:c>
      <x:c r="D12" s="132" t="str">
        <x:v>Missing</x:v>
      </x:c>
      <x:c r="E12" s="128" t="str">
        <x:v>INPUT REQUIRED</x:v>
      </x:c>
      <x:c r="F12" s="128" t="str">
        <x:v>INPUT REQUIRED</x:v>
      </x:c>
      <x:c r="G12" s="133" t="str">
        <x:v>INPUT REQUIRED</x:v>
      </x:c>
      <x:c r="H12" s="146" t="str">
        <x:f>IF(ISNUMBER(Assumptions!D13),"POPULATED","INPUT REQUIRED")</x:f>
        <x:v>INPUT REQUIRED</x:v>
      </x:c>
      <x:c r="I12" s="64" t="str">
        <x:f>IF(AND(H12="POPULATED",OR(D12="Confirmed",D12="Inferred",D12="Conflicting",D12="Recommended"),E12&lt;&gt;"INPUT REQUIRED",F12&lt;&gt;"INPUT REQUIRED",G12&lt;&gt;"INPUT REQUIRED"),"PASS","INPUT REQUIRED")</x:f>
        <x:v>INPUT REQUIRED</x:v>
      </x:c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59" t="str">
        <x:v>Funding inflow (Month 1)</x:v>
      </x:c>
      <x:c r="B13" s="78" t="str">
        <x:v>Downside</x:v>
      </x:c>
      <x:c r="C13" s="78" t="str">
        <x:v>Assumptions!D14</x:v>
      </x:c>
      <x:c r="D13" s="132" t="str">
        <x:v>Missing</x:v>
      </x:c>
      <x:c r="E13" s="128" t="str">
        <x:v>INPUT REQUIRED</x:v>
      </x:c>
      <x:c r="F13" s="128" t="str">
        <x:v>INPUT REQUIRED</x:v>
      </x:c>
      <x:c r="G13" s="133" t="str">
        <x:v>INPUT REQUIRED</x:v>
      </x:c>
      <x:c r="H13" s="146" t="str">
        <x:f>IF(ISNUMBER(Assumptions!D14),"POPULATED","INPUT REQUIRED")</x:f>
        <x:v>INPUT REQUIRED</x:v>
      </x:c>
      <x:c r="I13" s="64" t="str">
        <x:f>IF(AND(H13="POPULATED",OR(D13="Confirmed",D13="Inferred",D13="Conflicting",D13="Recommended"),E13&lt;&gt;"INPUT REQUIRED",F13&lt;&gt;"INPUT REQUIRED",G13&lt;&gt;"INPUT REQUIRED"),"PASS","INPUT REQUIRED")</x:f>
        <x:v>INPUT REQUIRED</x:v>
      </x:c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59" t="str">
        <x:v>Collection lag</x:v>
      </x:c>
      <x:c r="B14" s="78" t="str">
        <x:v>Downside</x:v>
      </x:c>
      <x:c r="C14" s="78" t="str">
        <x:v>Assumptions!D15</x:v>
      </x:c>
      <x:c r="D14" s="132" t="str">
        <x:v>Missing</x:v>
      </x:c>
      <x:c r="E14" s="128" t="str">
        <x:v>INPUT REQUIRED</x:v>
      </x:c>
      <x:c r="F14" s="128" t="str">
        <x:v>INPUT REQUIRED</x:v>
      </x:c>
      <x:c r="G14" s="133" t="str">
        <x:v>INPUT REQUIRED</x:v>
      </x:c>
      <x:c r="H14" s="146" t="str">
        <x:f>IF(ISNUMBER(Assumptions!D15),"POPULATED","INPUT REQUIRED")</x:f>
        <x:v>INPUT REQUIRED</x:v>
      </x:c>
      <x:c r="I14" s="64" t="str">
        <x:f>IF(AND(H14="POPULATED",OR(D14="Confirmed",D14="Inferred",D14="Conflicting",D14="Recommended"),E14&lt;&gt;"INPUT REQUIRED",F14&lt;&gt;"INPUT REQUIRED",G14&lt;&gt;"INPUT REQUIRED"),"PASS","INPUT REQUIRED")</x:f>
        <x:v>INPUT REQUIRED</x:v>
      </x:c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59" t="str">
        <x:v>Monthly activation plan</x:v>
      </x:c>
      <x:c r="B15" s="78" t="str">
        <x:v>Downside</x:v>
      </x:c>
      <x:c r="C15" s="78" t="str">
        <x:v>Capacity_Ramp!C5:C16</x:v>
      </x:c>
      <x:c r="D15" s="132" t="str">
        <x:v>Missing</x:v>
      </x:c>
      <x:c r="E15" s="128" t="str">
        <x:v>INPUT REQUIRED</x:v>
      </x:c>
      <x:c r="F15" s="128" t="str">
        <x:v>INPUT REQUIRED</x:v>
      </x:c>
      <x:c r="G15" s="133" t="str">
        <x:v>INPUT REQUIRED</x:v>
      </x:c>
      <x:c r="H15" s="146" t="str">
        <x:f>IF(COUNT(Capacity_Ramp!C5:C16)=12,"POPULATED","INPUT REQUIRED")</x:f>
        <x:v>INPUT REQUIRED</x:v>
      </x:c>
      <x:c r="I15" s="64" t="str">
        <x:f>IF(AND(H15="POPULATED",OR(D15="Confirmed",D15="Inferred",D15="Conflicting",D15="Recommended"),E15&lt;&gt;"INPUT REQUIRED",F15&lt;&gt;"INPUT REQUIRED",G15&lt;&gt;"INPUT REQUIRED"),"PASS","INPUT REQUIRED")</x:f>
        <x:v>INPUT REQUIRED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59" t="str">
        <x:v>Monthly churn plan</x:v>
      </x:c>
      <x:c r="B16" s="78" t="str">
        <x:v>Downside</x:v>
      </x:c>
      <x:c r="C16" s="78" t="str">
        <x:v>Capacity_Ramp!D5:D16</x:v>
      </x:c>
      <x:c r="D16" s="132" t="str">
        <x:v>Missing</x:v>
      </x:c>
      <x:c r="E16" s="128" t="str">
        <x:v>INPUT REQUIRED</x:v>
      </x:c>
      <x:c r="F16" s="128" t="str">
        <x:v>INPUT REQUIRED</x:v>
      </x:c>
      <x:c r="G16" s="133" t="str">
        <x:v>INPUT REQUIRED</x:v>
      </x:c>
      <x:c r="H16" s="146" t="str">
        <x:f>IF(COUNT(Capacity_Ramp!D5:D16)=12,"POPULATED","INPUT REQUIRED")</x:f>
        <x:v>INPUT REQUIRED</x:v>
      </x:c>
      <x:c r="I16" s="64" t="str">
        <x:f>IF(AND(H16="POPULATED",OR(D16="Confirmed",D16="Inferred",D16="Conflicting",D16="Recommended"),E16&lt;&gt;"INPUT REQUIRED",F16&lt;&gt;"INPUT REQUIRED",G16&lt;&gt;"INPUT REQUIRED"),"PASS","INPUT REQUIRED")</x:f>
        <x:v>INPUT REQUIRED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59" t="str">
        <x:v>Month-12 active workspaces</x:v>
      </x:c>
      <x:c r="B17" s="78" t="str">
        <x:v>Base</x:v>
      </x:c>
      <x:c r="C17" s="78" t="str">
        <x:v>Assumptions!E6</x:v>
      </x:c>
      <x:c r="D17" s="132" t="str">
        <x:v>Missing</x:v>
      </x:c>
      <x:c r="E17" s="128" t="str">
        <x:v>INPUT REQUIRED</x:v>
      </x:c>
      <x:c r="F17" s="128" t="str">
        <x:v>INPUT REQUIRED</x:v>
      </x:c>
      <x:c r="G17" s="133" t="str">
        <x:v>INPUT REQUIRED</x:v>
      </x:c>
      <x:c r="H17" s="146" t="str">
        <x:f>IF(ISNUMBER(Assumptions!E6),"POPULATED","INPUT REQUIRED")</x:f>
        <x:v>POPULATED</x:v>
      </x:c>
      <x:c r="I17" s="64" t="str">
        <x:f>IF(AND(H17="POPULATED",OR(D17="Confirmed",D17="Inferred",D17="Conflicting",D17="Recommended"),E17&lt;&gt;"INPUT REQUIRED",F17&lt;&gt;"INPUT REQUIRED",G17&lt;&gt;"INPUT REQUIRED"),"PASS","INPUT REQUIRED")</x:f>
        <x:v>INPUT REQUIRED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59" t="str">
        <x:v>Monthly subscription price per active workspace</x:v>
      </x:c>
      <x:c r="B18" s="78" t="str">
        <x:v>Base</x:v>
      </x:c>
      <x:c r="C18" s="78" t="str">
        <x:v>Assumptions!E7</x:v>
      </x:c>
      <x:c r="D18" s="132" t="str">
        <x:v>Missing</x:v>
      </x:c>
      <x:c r="E18" s="128" t="str">
        <x:v>INPUT REQUIRED</x:v>
      </x:c>
      <x:c r="F18" s="128" t="str">
        <x:v>INPUT REQUIRED</x:v>
      </x:c>
      <x:c r="G18" s="133" t="str">
        <x:v>INPUT REQUIRED</x:v>
      </x:c>
      <x:c r="H18" s="146" t="str">
        <x:f>IF(ISNUMBER(Assumptions!E7),"POPULATED","INPUT REQUIRED")</x:f>
        <x:v>INPUT REQUIRED</x:v>
      </x:c>
      <x:c r="I18" s="64" t="str">
        <x:f>IF(AND(H18="POPULATED",OR(D18="Confirmed",D18="Inferred",D18="Conflicting",D18="Recommended"),E18&lt;&gt;"INPUT REQUIRED",F18&lt;&gt;"INPUT REQUIRED",G18&lt;&gt;"INPUT REQUIRED"),"PASS","INPUT REQUIRED")</x:f>
        <x:v>INPUT REQUIRED</x:v>
      </x:c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59" t="str">
        <x:v>One-time setup fee per activation</x:v>
      </x:c>
      <x:c r="B19" s="78" t="str">
        <x:v>Base</x:v>
      </x:c>
      <x:c r="C19" s="78" t="str">
        <x:v>Assumptions!E8</x:v>
      </x:c>
      <x:c r="D19" s="132" t="str">
        <x:v>Missing</x:v>
      </x:c>
      <x:c r="E19" s="128" t="str">
        <x:v>INPUT REQUIRED</x:v>
      </x:c>
      <x:c r="F19" s="128" t="str">
        <x:v>INPUT REQUIRED</x:v>
      </x:c>
      <x:c r="G19" s="133" t="str">
        <x:v>INPUT REQUIRED</x:v>
      </x:c>
      <x:c r="H19" s="146" t="str">
        <x:f>IF(ISNUMBER(Assumptions!E8),"POPULATED","INPUT REQUIRED")</x:f>
        <x:v>INPUT REQUIRED</x:v>
      </x:c>
      <x:c r="I19" s="64" t="str">
        <x:f>IF(AND(H19="POPULATED",OR(D19="Confirmed",D19="Inferred",D19="Conflicting",D19="Recommended"),E19&lt;&gt;"INPUT REQUIRED",F19&lt;&gt;"INPUT REQUIRED",G19&lt;&gt;"INPUT REQUIRED"),"PASS","INPUT REQUIRED")</x:f>
        <x:v>INPUT REQUIRED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59" t="str">
        <x:v>Variable service cost per active workspace</x:v>
      </x:c>
      <x:c r="B20" s="78" t="str">
        <x:v>Base</x:v>
      </x:c>
      <x:c r="C20" s="78" t="str">
        <x:v>Assumptions!E9</x:v>
      </x:c>
      <x:c r="D20" s="132" t="str">
        <x:v>Missing</x:v>
      </x:c>
      <x:c r="E20" s="128" t="str">
        <x:v>INPUT REQUIRED</x:v>
      </x:c>
      <x:c r="F20" s="128" t="str">
        <x:v>INPUT REQUIRED</x:v>
      </x:c>
      <x:c r="G20" s="133" t="str">
        <x:v>INPUT REQUIRED</x:v>
      </x:c>
      <x:c r="H20" s="146" t="str">
        <x:f>IF(ISNUMBER(Assumptions!E9),"POPULATED","INPUT REQUIRED")</x:f>
        <x:v>INPUT REQUIRED</x:v>
      </x:c>
      <x:c r="I20" s="64" t="str">
        <x:f>IF(AND(H20="POPULATED",OR(D20="Confirmed",D20="Inferred",D20="Conflicting",D20="Recommended"),E20&lt;&gt;"INPUT REQUIRED",F20&lt;&gt;"INPUT REQUIRED",G20&lt;&gt;"INPUT REQUIRED"),"PASS","INPUT REQUIRED")</x:f>
        <x:v>INPUT REQUIRED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59" t="str">
        <x:v>Fixed monthly operating cash cost</x:v>
      </x:c>
      <x:c r="B21" s="78" t="str">
        <x:v>Base</x:v>
      </x:c>
      <x:c r="C21" s="78" t="str">
        <x:v>Assumptions!E10</x:v>
      </x:c>
      <x:c r="D21" s="132" t="str">
        <x:v>Missing</x:v>
      </x:c>
      <x:c r="E21" s="128" t="str">
        <x:v>INPUT REQUIRED</x:v>
      </x:c>
      <x:c r="F21" s="128" t="str">
        <x:v>INPUT REQUIRED</x:v>
      </x:c>
      <x:c r="G21" s="133" t="str">
        <x:v>INPUT REQUIRED</x:v>
      </x:c>
      <x:c r="H21" s="146" t="str">
        <x:f>IF(ISNUMBER(Assumptions!E10),"POPULATED","INPUT REQUIRED")</x:f>
        <x:v>INPUT REQUIRED</x:v>
      </x:c>
      <x:c r="I21" s="64" t="str">
        <x:f>IF(AND(H21="POPULATED",OR(D21="Confirmed",D21="Inferred",D21="Conflicting",D21="Recommended"),E21&lt;&gt;"INPUT REQUIRED",F21&lt;&gt;"INPUT REQUIRED",G21&lt;&gt;"INPUT REQUIRED"),"PASS","INPUT REQUIRED")</x:f>
        <x:v>INPUT REQUIRED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59" t="str">
        <x:v>Opening cash</x:v>
      </x:c>
      <x:c r="B22" s="78" t="str">
        <x:v>Base</x:v>
      </x:c>
      <x:c r="C22" s="78" t="str">
        <x:v>Assumptions!E11</x:v>
      </x:c>
      <x:c r="D22" s="132" t="str">
        <x:v>Missing</x:v>
      </x:c>
      <x:c r="E22" s="128" t="str">
        <x:v>INPUT REQUIRED</x:v>
      </x:c>
      <x:c r="F22" s="128" t="str">
        <x:v>INPUT REQUIRED</x:v>
      </x:c>
      <x:c r="G22" s="133" t="str">
        <x:v>INPUT REQUIRED</x:v>
      </x:c>
      <x:c r="H22" s="146" t="str">
        <x:f>IF(ISNUMBER(Assumptions!E11),"POPULATED","INPUT REQUIRED")</x:f>
        <x:v>INPUT REQUIRED</x:v>
      </x:c>
      <x:c r="I22" s="64" t="str">
        <x:f>IF(AND(H22="POPULATED",OR(D22="Confirmed",D22="Inferred",D22="Conflicting",D22="Recommended"),E22&lt;&gt;"INPUT REQUIRED",F22&lt;&gt;"INPUT REQUIRED",G22&lt;&gt;"INPUT REQUIRED"),"PASS","INPUT REQUIRED")</x:f>
        <x:v>INPUT REQUIRED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59" t="str">
        <x:v>Minimum cash buffer</x:v>
      </x:c>
      <x:c r="B23" s="78" t="str">
        <x:v>Base</x:v>
      </x:c>
      <x:c r="C23" s="78" t="str">
        <x:v>Assumptions!E12</x:v>
      </x:c>
      <x:c r="D23" s="132" t="str">
        <x:v>Missing</x:v>
      </x:c>
      <x:c r="E23" s="128" t="str">
        <x:v>INPUT REQUIRED</x:v>
      </x:c>
      <x:c r="F23" s="128" t="str">
        <x:v>INPUT REQUIRED</x:v>
      </x:c>
      <x:c r="G23" s="133" t="str">
        <x:v>INPUT REQUIRED</x:v>
      </x:c>
      <x:c r="H23" s="146" t="str">
        <x:f>IF(ISNUMBER(Assumptions!E12),"POPULATED","INPUT REQUIRED")</x:f>
        <x:v>INPUT REQUIRED</x:v>
      </x:c>
      <x:c r="I23" s="64" t="str">
        <x:f>IF(AND(H23="POPULATED",OR(D23="Confirmed",D23="Inferred",D23="Conflicting",D23="Recommended"),E23&lt;&gt;"INPUT REQUIRED",F23&lt;&gt;"INPUT REQUIRED",G23&lt;&gt;"INPUT REQUIRED"),"PASS","INPUT REQUIRED")</x:f>
        <x:v>INPUT REQUIRED</x:v>
      </x:c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59" t="str">
        <x:v>One-time production-readiness cash cost (Month 1)</x:v>
      </x:c>
      <x:c r="B24" s="78" t="str">
        <x:v>Base</x:v>
      </x:c>
      <x:c r="C24" s="78" t="str">
        <x:v>Assumptions!E13</x:v>
      </x:c>
      <x:c r="D24" s="132" t="str">
        <x:v>Missing</x:v>
      </x:c>
      <x:c r="E24" s="128" t="str">
        <x:v>INPUT REQUIRED</x:v>
      </x:c>
      <x:c r="F24" s="128" t="str">
        <x:v>INPUT REQUIRED</x:v>
      </x:c>
      <x:c r="G24" s="133" t="str">
        <x:v>INPUT REQUIRED</x:v>
      </x:c>
      <x:c r="H24" s="146" t="str">
        <x:f>IF(ISNUMBER(Assumptions!E13),"POPULATED","INPUT REQUIRED")</x:f>
        <x:v>INPUT REQUIRED</x:v>
      </x:c>
      <x:c r="I24" s="64" t="str">
        <x:f>IF(AND(H24="POPULATED",OR(D24="Confirmed",D24="Inferred",D24="Conflicting",D24="Recommended"),E24&lt;&gt;"INPUT REQUIRED",F24&lt;&gt;"INPUT REQUIRED",G24&lt;&gt;"INPUT REQUIRED"),"PASS","INPUT REQUIRED")</x:f>
        <x:v>INPUT REQUIRED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59" t="str">
        <x:v>Funding inflow (Month 1)</x:v>
      </x:c>
      <x:c r="B25" s="78" t="str">
        <x:v>Base</x:v>
      </x:c>
      <x:c r="C25" s="78" t="str">
        <x:v>Assumptions!E14</x:v>
      </x:c>
      <x:c r="D25" s="132" t="str">
        <x:v>Missing</x:v>
      </x:c>
      <x:c r="E25" s="128" t="str">
        <x:v>INPUT REQUIRED</x:v>
      </x:c>
      <x:c r="F25" s="128" t="str">
        <x:v>INPUT REQUIRED</x:v>
      </x:c>
      <x:c r="G25" s="133" t="str">
        <x:v>INPUT REQUIRED</x:v>
      </x:c>
      <x:c r="H25" s="146" t="str">
        <x:f>IF(ISNUMBER(Assumptions!E14),"POPULATED","INPUT REQUIRED")</x:f>
        <x:v>INPUT REQUIRED</x:v>
      </x:c>
      <x:c r="I25" s="64" t="str">
        <x:f>IF(AND(H25="POPULATED",OR(D25="Confirmed",D25="Inferred",D25="Conflicting",D25="Recommended"),E25&lt;&gt;"INPUT REQUIRED",F25&lt;&gt;"INPUT REQUIRED",G25&lt;&gt;"INPUT REQUIRED"),"PASS","INPUT REQUIRED")</x:f>
        <x:v>INPUT REQUIRED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59" t="str">
        <x:v>Collection lag</x:v>
      </x:c>
      <x:c r="B26" s="78" t="str">
        <x:v>Base</x:v>
      </x:c>
      <x:c r="C26" s="78" t="str">
        <x:v>Assumptions!E15</x:v>
      </x:c>
      <x:c r="D26" s="132" t="str">
        <x:v>Missing</x:v>
      </x:c>
      <x:c r="E26" s="128" t="str">
        <x:v>INPUT REQUIRED</x:v>
      </x:c>
      <x:c r="F26" s="128" t="str">
        <x:v>INPUT REQUIRED</x:v>
      </x:c>
      <x:c r="G26" s="133" t="str">
        <x:v>INPUT REQUIRED</x:v>
      </x:c>
      <x:c r="H26" s="146" t="str">
        <x:f>IF(ISNUMBER(Assumptions!E15),"POPULATED","INPUT REQUIRED")</x:f>
        <x:v>INPUT REQUIRED</x:v>
      </x:c>
      <x:c r="I26" s="64" t="str">
        <x:f>IF(AND(H26="POPULATED",OR(D26="Confirmed",D26="Inferred",D26="Conflicting",D26="Recommended"),E26&lt;&gt;"INPUT REQUIRED",F26&lt;&gt;"INPUT REQUIRED",G26&lt;&gt;"INPUT REQUIRED"),"PASS","INPUT REQUIRED")</x:f>
        <x:v>INPUT REQUIRED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59" t="str">
        <x:v>Monthly activation plan</x:v>
      </x:c>
      <x:c r="B27" s="78" t="str">
        <x:v>Base</x:v>
      </x:c>
      <x:c r="C27" s="78" t="str">
        <x:v>Capacity_Ramp!H5:H16</x:v>
      </x:c>
      <x:c r="D27" s="132" t="str">
        <x:v>Missing</x:v>
      </x:c>
      <x:c r="E27" s="128" t="str">
        <x:v>INPUT REQUIRED</x:v>
      </x:c>
      <x:c r="F27" s="128" t="str">
        <x:v>INPUT REQUIRED</x:v>
      </x:c>
      <x:c r="G27" s="133" t="str">
        <x:v>INPUT REQUIRED</x:v>
      </x:c>
      <x:c r="H27" s="146" t="str">
        <x:f>IF(COUNT(Capacity_Ramp!H5:H16)=12,"POPULATED","INPUT REQUIRED")</x:f>
        <x:v>INPUT REQUIRED</x:v>
      </x:c>
      <x:c r="I27" s="64" t="str">
        <x:f>IF(AND(H27="POPULATED",OR(D27="Confirmed",D27="Inferred",D27="Conflicting",D27="Recommended"),E27&lt;&gt;"INPUT REQUIRED",F27&lt;&gt;"INPUT REQUIRED",G27&lt;&gt;"INPUT REQUIRED"),"PASS","INPUT REQUIRED")</x:f>
        <x:v>INPUT REQUIRED</x:v>
      </x:c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59" t="str">
        <x:v>Monthly churn plan</x:v>
      </x:c>
      <x:c r="B28" s="78" t="str">
        <x:v>Base</x:v>
      </x:c>
      <x:c r="C28" s="78" t="str">
        <x:v>Capacity_Ramp!I5:I16</x:v>
      </x:c>
      <x:c r="D28" s="132" t="str">
        <x:v>Missing</x:v>
      </x:c>
      <x:c r="E28" s="128" t="str">
        <x:v>INPUT REQUIRED</x:v>
      </x:c>
      <x:c r="F28" s="128" t="str">
        <x:v>INPUT REQUIRED</x:v>
      </x:c>
      <x:c r="G28" s="133" t="str">
        <x:v>INPUT REQUIRED</x:v>
      </x:c>
      <x:c r="H28" s="146" t="str">
        <x:f>IF(COUNT(Capacity_Ramp!I5:I16)=12,"POPULATED","INPUT REQUIRED")</x:f>
        <x:v>INPUT REQUIRED</x:v>
      </x:c>
      <x:c r="I28" s="64" t="str">
        <x:f>IF(AND(H28="POPULATED",OR(D28="Confirmed",D28="Inferred",D28="Conflicting",D28="Recommended"),E28&lt;&gt;"INPUT REQUIRED",F28&lt;&gt;"INPUT REQUIRED",G28&lt;&gt;"INPUT REQUIRED"),"PASS","INPUT REQUIRED")</x:f>
        <x:v>INPUT REQUIRED</x:v>
      </x:c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59" t="str">
        <x:v>Month-12 active workspaces</x:v>
      </x:c>
      <x:c r="B29" s="78" t="str">
        <x:v>Upside</x:v>
      </x:c>
      <x:c r="C29" s="78" t="str">
        <x:v>Assumptions!F6</x:v>
      </x:c>
      <x:c r="D29" s="132" t="str">
        <x:v>Missing</x:v>
      </x:c>
      <x:c r="E29" s="128" t="str">
        <x:v>INPUT REQUIRED</x:v>
      </x:c>
      <x:c r="F29" s="128" t="str">
        <x:v>INPUT REQUIRED</x:v>
      </x:c>
      <x:c r="G29" s="133" t="str">
        <x:v>INPUT REQUIRED</x:v>
      </x:c>
      <x:c r="H29" s="146" t="str">
        <x:f>IF(ISNUMBER(Assumptions!F6),"POPULATED","INPUT REQUIRED")</x:f>
        <x:v>POPULATED</x:v>
      </x:c>
      <x:c r="I29" s="64" t="str">
        <x:f>IF(AND(H29="POPULATED",OR(D29="Confirmed",D29="Inferred",D29="Conflicting",D29="Recommended"),E29&lt;&gt;"INPUT REQUIRED",F29&lt;&gt;"INPUT REQUIRED",G29&lt;&gt;"INPUT REQUIRED"),"PASS","INPUT REQUIRED")</x:f>
        <x:v>INPUT REQUIRED</x:v>
      </x:c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59" t="str">
        <x:v>Monthly subscription price per active workspace</x:v>
      </x:c>
      <x:c r="B30" s="78" t="str">
        <x:v>Upside</x:v>
      </x:c>
      <x:c r="C30" s="78" t="str">
        <x:v>Assumptions!F7</x:v>
      </x:c>
      <x:c r="D30" s="132" t="str">
        <x:v>Missing</x:v>
      </x:c>
      <x:c r="E30" s="128" t="str">
        <x:v>INPUT REQUIRED</x:v>
      </x:c>
      <x:c r="F30" s="128" t="str">
        <x:v>INPUT REQUIRED</x:v>
      </x:c>
      <x:c r="G30" s="133" t="str">
        <x:v>INPUT REQUIRED</x:v>
      </x:c>
      <x:c r="H30" s="146" t="str">
        <x:f>IF(ISNUMBER(Assumptions!F7),"POPULATED","INPUT REQUIRED")</x:f>
        <x:v>INPUT REQUIRED</x:v>
      </x:c>
      <x:c r="I30" s="64" t="str">
        <x:f>IF(AND(H30="POPULATED",OR(D30="Confirmed",D30="Inferred",D30="Conflicting",D30="Recommended"),E30&lt;&gt;"INPUT REQUIRED",F30&lt;&gt;"INPUT REQUIRED",G30&lt;&gt;"INPUT REQUIRED"),"PASS","INPUT REQUIRED")</x:f>
        <x:v>INPUT REQUIRED</x:v>
      </x:c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59" t="str">
        <x:v>One-time setup fee per activation</x:v>
      </x:c>
      <x:c r="B31" s="78" t="str">
        <x:v>Upside</x:v>
      </x:c>
      <x:c r="C31" s="78" t="str">
        <x:v>Assumptions!F8</x:v>
      </x:c>
      <x:c r="D31" s="132" t="str">
        <x:v>Missing</x:v>
      </x:c>
      <x:c r="E31" s="128" t="str">
        <x:v>INPUT REQUIRED</x:v>
      </x:c>
      <x:c r="F31" s="128" t="str">
        <x:v>INPUT REQUIRED</x:v>
      </x:c>
      <x:c r="G31" s="133" t="str">
        <x:v>INPUT REQUIRED</x:v>
      </x:c>
      <x:c r="H31" s="146" t="str">
        <x:f>IF(ISNUMBER(Assumptions!F8),"POPULATED","INPUT REQUIRED")</x:f>
        <x:v>INPUT REQUIRED</x:v>
      </x:c>
      <x:c r="I31" s="64" t="str">
        <x:f>IF(AND(H31="POPULATED",OR(D31="Confirmed",D31="Inferred",D31="Conflicting",D31="Recommended"),E31&lt;&gt;"INPUT REQUIRED",F31&lt;&gt;"INPUT REQUIRED",G31&lt;&gt;"INPUT REQUIRED"),"PASS","INPUT REQUIRED")</x:f>
        <x:v>INPUT REQUIRED</x:v>
      </x:c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59" t="str">
        <x:v>Variable service cost per active workspace</x:v>
      </x:c>
      <x:c r="B32" s="78" t="str">
        <x:v>Upside</x:v>
      </x:c>
      <x:c r="C32" s="78" t="str">
        <x:v>Assumptions!F9</x:v>
      </x:c>
      <x:c r="D32" s="132" t="str">
        <x:v>Missing</x:v>
      </x:c>
      <x:c r="E32" s="128" t="str">
        <x:v>INPUT REQUIRED</x:v>
      </x:c>
      <x:c r="F32" s="128" t="str">
        <x:v>INPUT REQUIRED</x:v>
      </x:c>
      <x:c r="G32" s="133" t="str">
        <x:v>INPUT REQUIRED</x:v>
      </x:c>
      <x:c r="H32" s="146" t="str">
        <x:f>IF(ISNUMBER(Assumptions!F9),"POPULATED","INPUT REQUIRED")</x:f>
        <x:v>INPUT REQUIRED</x:v>
      </x:c>
      <x:c r="I32" s="64" t="str">
        <x:f>IF(AND(H32="POPULATED",OR(D32="Confirmed",D32="Inferred",D32="Conflicting",D32="Recommended"),E32&lt;&gt;"INPUT REQUIRED",F32&lt;&gt;"INPUT REQUIRED",G32&lt;&gt;"INPUT REQUIRED"),"PASS","INPUT REQUIRED")</x:f>
        <x:v>INPUT REQUIRED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59" t="str">
        <x:v>Fixed monthly operating cash cost</x:v>
      </x:c>
      <x:c r="B33" s="78" t="str">
        <x:v>Upside</x:v>
      </x:c>
      <x:c r="C33" s="78" t="str">
        <x:v>Assumptions!F10</x:v>
      </x:c>
      <x:c r="D33" s="132" t="str">
        <x:v>Missing</x:v>
      </x:c>
      <x:c r="E33" s="128" t="str">
        <x:v>INPUT REQUIRED</x:v>
      </x:c>
      <x:c r="F33" s="128" t="str">
        <x:v>INPUT REQUIRED</x:v>
      </x:c>
      <x:c r="G33" s="133" t="str">
        <x:v>INPUT REQUIRED</x:v>
      </x:c>
      <x:c r="H33" s="146" t="str">
        <x:f>IF(ISNUMBER(Assumptions!F10),"POPULATED","INPUT REQUIRED")</x:f>
        <x:v>INPUT REQUIRED</x:v>
      </x:c>
      <x:c r="I33" s="64" t="str">
        <x:f>IF(AND(H33="POPULATED",OR(D33="Confirmed",D33="Inferred",D33="Conflicting",D33="Recommended"),E33&lt;&gt;"INPUT REQUIRED",F33&lt;&gt;"INPUT REQUIRED",G33&lt;&gt;"INPUT REQUIRED"),"PASS","INPUT REQUIRED")</x:f>
        <x:v>INPUT REQUIRED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59" t="str">
        <x:v>Opening cash</x:v>
      </x:c>
      <x:c r="B34" s="78" t="str">
        <x:v>Upside</x:v>
      </x:c>
      <x:c r="C34" s="78" t="str">
        <x:v>Assumptions!F11</x:v>
      </x:c>
      <x:c r="D34" s="132" t="str">
        <x:v>Missing</x:v>
      </x:c>
      <x:c r="E34" s="128" t="str">
        <x:v>INPUT REQUIRED</x:v>
      </x:c>
      <x:c r="F34" s="128" t="str">
        <x:v>INPUT REQUIRED</x:v>
      </x:c>
      <x:c r="G34" s="133" t="str">
        <x:v>INPUT REQUIRED</x:v>
      </x:c>
      <x:c r="H34" s="146" t="str">
        <x:f>IF(ISNUMBER(Assumptions!F11),"POPULATED","INPUT REQUIRED")</x:f>
        <x:v>INPUT REQUIRED</x:v>
      </x:c>
      <x:c r="I34" s="64" t="str">
        <x:f>IF(AND(H34="POPULATED",OR(D34="Confirmed",D34="Inferred",D34="Conflicting",D34="Recommended"),E34&lt;&gt;"INPUT REQUIRED",F34&lt;&gt;"INPUT REQUIRED",G34&lt;&gt;"INPUT REQUIRED"),"PASS","INPUT REQUIRED")</x:f>
        <x:v>INPUT REQUIRED</x:v>
      </x:c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59" t="str">
        <x:v>Minimum cash buffer</x:v>
      </x:c>
      <x:c r="B35" s="78" t="str">
        <x:v>Upside</x:v>
      </x:c>
      <x:c r="C35" s="78" t="str">
        <x:v>Assumptions!F12</x:v>
      </x:c>
      <x:c r="D35" s="132" t="str">
        <x:v>Missing</x:v>
      </x:c>
      <x:c r="E35" s="128" t="str">
        <x:v>INPUT REQUIRED</x:v>
      </x:c>
      <x:c r="F35" s="128" t="str">
        <x:v>INPUT REQUIRED</x:v>
      </x:c>
      <x:c r="G35" s="133" t="str">
        <x:v>INPUT REQUIRED</x:v>
      </x:c>
      <x:c r="H35" s="146" t="str">
        <x:f>IF(ISNUMBER(Assumptions!F12),"POPULATED","INPUT REQUIRED")</x:f>
        <x:v>INPUT REQUIRED</x:v>
      </x:c>
      <x:c r="I35" s="64" t="str">
        <x:f>IF(AND(H35="POPULATED",OR(D35="Confirmed",D35="Inferred",D35="Conflicting",D35="Recommended"),E35&lt;&gt;"INPUT REQUIRED",F35&lt;&gt;"INPUT REQUIRED",G35&lt;&gt;"INPUT REQUIRED"),"PASS","INPUT REQUIRED")</x:f>
        <x:v>INPUT REQUIRED</x:v>
      </x:c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59" t="str">
        <x:v>One-time production-readiness cash cost (Month 1)</x:v>
      </x:c>
      <x:c r="B36" s="78" t="str">
        <x:v>Upside</x:v>
      </x:c>
      <x:c r="C36" s="78" t="str">
        <x:v>Assumptions!F13</x:v>
      </x:c>
      <x:c r="D36" s="132" t="str">
        <x:v>Missing</x:v>
      </x:c>
      <x:c r="E36" s="128" t="str">
        <x:v>INPUT REQUIRED</x:v>
      </x:c>
      <x:c r="F36" s="128" t="str">
        <x:v>INPUT REQUIRED</x:v>
      </x:c>
      <x:c r="G36" s="133" t="str">
        <x:v>INPUT REQUIRED</x:v>
      </x:c>
      <x:c r="H36" s="146" t="str">
        <x:f>IF(ISNUMBER(Assumptions!F13),"POPULATED","INPUT REQUIRED")</x:f>
        <x:v>INPUT REQUIRED</x:v>
      </x:c>
      <x:c r="I36" s="64" t="str">
        <x:f>IF(AND(H36="POPULATED",OR(D36="Confirmed",D36="Inferred",D36="Conflicting",D36="Recommended"),E36&lt;&gt;"INPUT REQUIRED",F36&lt;&gt;"INPUT REQUIRED",G36&lt;&gt;"INPUT REQUIRED"),"PASS","INPUT REQUIRED")</x:f>
        <x:v>INPUT REQUIRED</x:v>
      </x:c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59" t="str">
        <x:v>Funding inflow (Month 1)</x:v>
      </x:c>
      <x:c r="B37" s="78" t="str">
        <x:v>Upside</x:v>
      </x:c>
      <x:c r="C37" s="78" t="str">
        <x:v>Assumptions!F14</x:v>
      </x:c>
      <x:c r="D37" s="132" t="str">
        <x:v>Missing</x:v>
      </x:c>
      <x:c r="E37" s="128" t="str">
        <x:v>INPUT REQUIRED</x:v>
      </x:c>
      <x:c r="F37" s="128" t="str">
        <x:v>INPUT REQUIRED</x:v>
      </x:c>
      <x:c r="G37" s="133" t="str">
        <x:v>INPUT REQUIRED</x:v>
      </x:c>
      <x:c r="H37" s="146" t="str">
        <x:f>IF(ISNUMBER(Assumptions!F14),"POPULATED","INPUT REQUIRED")</x:f>
        <x:v>INPUT REQUIRED</x:v>
      </x:c>
      <x:c r="I37" s="64" t="str">
        <x:f>IF(AND(H37="POPULATED",OR(D37="Confirmed",D37="Inferred",D37="Conflicting",D37="Recommended"),E37&lt;&gt;"INPUT REQUIRED",F37&lt;&gt;"INPUT REQUIRED",G37&lt;&gt;"INPUT REQUIRED"),"PASS","INPUT REQUIRED")</x:f>
        <x:v>INPUT REQUIRED</x:v>
      </x:c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59" t="str">
        <x:v>Collection lag</x:v>
      </x:c>
      <x:c r="B38" s="78" t="str">
        <x:v>Upside</x:v>
      </x:c>
      <x:c r="C38" s="78" t="str">
        <x:v>Assumptions!F15</x:v>
      </x:c>
      <x:c r="D38" s="132" t="str">
        <x:v>Missing</x:v>
      </x:c>
      <x:c r="E38" s="128" t="str">
        <x:v>INPUT REQUIRED</x:v>
      </x:c>
      <x:c r="F38" s="128" t="str">
        <x:v>INPUT REQUIRED</x:v>
      </x:c>
      <x:c r="G38" s="133" t="str">
        <x:v>INPUT REQUIRED</x:v>
      </x:c>
      <x:c r="H38" s="146" t="str">
        <x:f>IF(ISNUMBER(Assumptions!F15),"POPULATED","INPUT REQUIRED")</x:f>
        <x:v>INPUT REQUIRED</x:v>
      </x:c>
      <x:c r="I38" s="64" t="str">
        <x:f>IF(AND(H38="POPULATED",OR(D38="Confirmed",D38="Inferred",D38="Conflicting",D38="Recommended"),E38&lt;&gt;"INPUT REQUIRED",F38&lt;&gt;"INPUT REQUIRED",G38&lt;&gt;"INPUT REQUIRED"),"PASS","INPUT REQUIRED")</x:f>
        <x:v>INPUT REQUIRED</x:v>
      </x:c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59" t="str">
        <x:v>Monthly activation plan</x:v>
      </x:c>
      <x:c r="B39" s="78" t="str">
        <x:v>Upside</x:v>
      </x:c>
      <x:c r="C39" s="78" t="str">
        <x:v>Capacity_Ramp!M5:M16</x:v>
      </x:c>
      <x:c r="D39" s="132" t="str">
        <x:v>Missing</x:v>
      </x:c>
      <x:c r="E39" s="128" t="str">
        <x:v>INPUT REQUIRED</x:v>
      </x:c>
      <x:c r="F39" s="128" t="str">
        <x:v>INPUT REQUIRED</x:v>
      </x:c>
      <x:c r="G39" s="133" t="str">
        <x:v>INPUT REQUIRED</x:v>
      </x:c>
      <x:c r="H39" s="146" t="str">
        <x:f>IF(COUNT(Capacity_Ramp!M5:M16)=12,"POPULATED","INPUT REQUIRED")</x:f>
        <x:v>INPUT REQUIRED</x:v>
      </x:c>
      <x:c r="I39" s="64" t="str">
        <x:f>IF(AND(H39="POPULATED",OR(D39="Confirmed",D39="Inferred",D39="Conflicting",D39="Recommended"),E39&lt;&gt;"INPUT REQUIRED",F39&lt;&gt;"INPUT REQUIRED",G39&lt;&gt;"INPUT REQUIRED"),"PASS","INPUT REQUIRED")</x:f>
        <x:v>INPUT REQUIRED</x:v>
      </x:c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61" t="str">
        <x:v>Monthly churn plan</x:v>
      </x:c>
      <x:c r="B40" s="79" t="str">
        <x:v>Upside</x:v>
      </x:c>
      <x:c r="C40" s="79" t="str">
        <x:v>Capacity_Ramp!N5:N16</x:v>
      </x:c>
      <x:c r="D40" s="134" t="str">
        <x:v>Missing</x:v>
      </x:c>
      <x:c r="E40" s="129" t="str">
        <x:v>INPUT REQUIRED</x:v>
      </x:c>
      <x:c r="F40" s="129" t="str">
        <x:v>INPUT REQUIRED</x:v>
      </x:c>
      <x:c r="G40" s="135" t="str">
        <x:v>INPUT REQUIRED</x:v>
      </x:c>
      <x:c r="H40" s="147" t="str">
        <x:f>IF(COUNT(Capacity_Ramp!N5:N16)=12,"POPULATED","INPUT REQUIRED")</x:f>
        <x:v>INPUT REQUIRED</x:v>
      </x:c>
      <x:c r="I40" s="65" t="str">
        <x:f>IF(AND(H40="POPULATED",OR(D40="Confirmed",D40="Inferred",D40="Conflicting",D40="Recommended"),E40&lt;&gt;"INPUT REQUIRED",F40&lt;&gt;"INPUT REQUIRED",G40&lt;&gt;"INPUT REQUIRED"),"PASS","INPUT REQUIRED")</x:f>
        <x:v>INPUT REQUIRED</x:v>
      </x:c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48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B42" s="149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C42" s="149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D42" s="149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E42" s="149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F42" s="149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G42" s="149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H42" s="149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I42" s="150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51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B43" s="152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C43" s="152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D43" s="152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E43" s="152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F43" s="152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G43" s="152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H43" s="152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I43" s="153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54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B44" s="155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C44" s="155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D44" s="155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E44" s="155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F44" s="155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G44" s="155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H44" s="155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I44" s="156" t="str">
        <x:v>Control rule: a populated numeric cell without complete provenance remains INPUT REQUIRED. Evidence labels are limited to Confirmed, Inferred, Conflicting, or Recommended; Missing never promotes an input. Financial outputs remain illustrative and are never evidence of demand.</x:v>
      </x:c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I1"/>
    <x:mergeCell ref="A2:I3"/>
    <x:mergeCell ref="A42:I4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.600000381469727" hidden="0" customHeight="1">
      <x:c r="A1" s="4" t="str">
        <x:v>Monthly Workspace Capacity Ramp</x:v>
      </x:c>
      <x:c r="B1" s="4" t="str">
        <x:v>Monthly Workspace Capacity Ramp</x:v>
      </x:c>
      <x:c r="C1" s="4" t="str">
        <x:v>Monthly Workspace Capacity Ramp</x:v>
      </x:c>
      <x:c r="D1" s="4" t="str">
        <x:v>Monthly Workspace Capacity Ramp</x:v>
      </x:c>
      <x:c r="E1" s="4" t="str">
        <x:v>Monthly Workspace Capacity Ramp</x:v>
      </x:c>
      <x:c r="F1" s="4" t="str">
        <x:v>Monthly Workspace Capacity Ramp</x:v>
      </x:c>
      <x:c r="G1" s="4" t="str">
        <x:v>Monthly Workspace Capacity Ramp</x:v>
      </x:c>
      <x:c r="H1" s="4" t="str">
        <x:v>Monthly Workspace Capacity Ramp</x:v>
      </x:c>
      <x:c r="I1" s="4" t="str">
        <x:v>Monthly Workspace Capacity Ramp</x:v>
      </x:c>
      <x:c r="J1" s="4" t="str">
        <x:v>Monthly Workspace Capacity Ramp</x:v>
      </x:c>
      <x:c r="K1" s="4" t="str">
        <x:v>Monthly Workspace Capacity Ramp</x:v>
      </x:c>
      <x:c r="L1" s="4" t="str">
        <x:v>Monthly Workspace Capacity Ramp</x:v>
      </x:c>
      <x:c r="M1" s="4" t="str">
        <x:v>Monthly Workspace Capacity Ramp</x:v>
      </x:c>
      <x:c r="N1" s="4" t="str">
        <x:v>Monthly Workspace Capacity Ramp</x:v>
      </x:c>
      <x:c r="O1" s="4" t="str">
        <x:v>Monthly Workspace Capacity Ramp</x:v>
      </x:c>
      <x:c r="P1" s="4" t="str">
        <x:v>Monthly Workspace Capacity Ramp</x:v>
      </x:c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8" t="str">
        <x:v>Enter activations and churned workspaces explicitly. The model does not invent a linear ramp or assume zero churn.</x:v>
      </x:c>
      <x:c r="B2" s="8" t="str">
        <x:v>Enter activations and churned workspaces explicitly. The model does not invent a linear ramp or assume zero churn.</x:v>
      </x:c>
      <x:c r="C2" s="8" t="str">
        <x:v>Enter activations and churned workspaces explicitly. The model does not invent a linear ramp or assume zero churn.</x:v>
      </x:c>
      <x:c r="D2" s="8" t="str">
        <x:v>Enter activations and churned workspaces explicitly. The model does not invent a linear ramp or assume zero churn.</x:v>
      </x:c>
      <x:c r="E2" s="8" t="str">
        <x:v>Enter activations and churned workspaces explicitly. The model does not invent a linear ramp or assume zero churn.</x:v>
      </x:c>
      <x:c r="F2" s="8" t="str">
        <x:v>Enter activations and churned workspaces explicitly. The model does not invent a linear ramp or assume zero churn.</x:v>
      </x:c>
      <x:c r="G2" s="8" t="str">
        <x:v>Enter activations and churned workspaces explicitly. The model does not invent a linear ramp or assume zero churn.</x:v>
      </x:c>
      <x:c r="H2" s="8" t="str">
        <x:v>Enter activations and churned workspaces explicitly. The model does not invent a linear ramp or assume zero churn.</x:v>
      </x:c>
      <x:c r="I2" s="8" t="str">
        <x:v>Enter activations and churned workspaces explicitly. The model does not invent a linear ramp or assume zero churn.</x:v>
      </x:c>
      <x:c r="J2" s="8" t="str">
        <x:v>Enter activations and churned workspaces explicitly. The model does not invent a linear ramp or assume zero churn.</x:v>
      </x:c>
      <x:c r="K2" s="8" t="str">
        <x:v>Enter activations and churned workspaces explicitly. The model does not invent a linear ramp or assume zero churn.</x:v>
      </x:c>
      <x:c r="L2" s="8" t="str">
        <x:v>Enter activations and churned workspaces explicitly. The model does not invent a linear ramp or assume zero churn.</x:v>
      </x:c>
      <x:c r="M2" s="8" t="str">
        <x:v>Enter activations and churned workspaces explicitly. The model does not invent a linear ramp or assume zero churn.</x:v>
      </x:c>
      <x:c r="N2" s="8" t="str">
        <x:v>Enter activations and churned workspaces explicitly. The model does not invent a linear ramp or assume zero churn.</x:v>
      </x:c>
      <x:c r="O2" s="8" t="str">
        <x:v>Enter activations and churned workspaces explicitly. The model does not invent a linear ramp or assume zero churn.</x:v>
      </x:c>
      <x:c r="P2" s="8" t="str">
        <x:v>Enter activations and churned workspaces explicitly. The model does not invent a linear ramp or assume zero churn.</x:v>
      </x:c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8" t="str">
        <x:v>Enter activations and churned workspaces explicitly. The model does not invent a linear ramp or assume zero churn.</x:v>
      </x:c>
      <x:c r="B3" s="8" t="str">
        <x:v>Enter activations and churned workspaces explicitly. The model does not invent a linear ramp or assume zero churn.</x:v>
      </x:c>
      <x:c r="C3" s="8" t="str">
        <x:v>Enter activations and churned workspaces explicitly. The model does not invent a linear ramp or assume zero churn.</x:v>
      </x:c>
      <x:c r="D3" s="8" t="str">
        <x:v>Enter activations and churned workspaces explicitly. The model does not invent a linear ramp or assume zero churn.</x:v>
      </x:c>
      <x:c r="E3" s="8" t="str">
        <x:v>Enter activations and churned workspaces explicitly. The model does not invent a linear ramp or assume zero churn.</x:v>
      </x:c>
      <x:c r="F3" s="8" t="str">
        <x:v>Enter activations and churned workspaces explicitly. The model does not invent a linear ramp or assume zero churn.</x:v>
      </x:c>
      <x:c r="G3" s="8" t="str">
        <x:v>Enter activations and churned workspaces explicitly. The model does not invent a linear ramp or assume zero churn.</x:v>
      </x:c>
      <x:c r="H3" s="8" t="str">
        <x:v>Enter activations and churned workspaces explicitly. The model does not invent a linear ramp or assume zero churn.</x:v>
      </x:c>
      <x:c r="I3" s="8" t="str">
        <x:v>Enter activations and churned workspaces explicitly. The model does not invent a linear ramp or assume zero churn.</x:v>
      </x:c>
      <x:c r="J3" s="8" t="str">
        <x:v>Enter activations and churned workspaces explicitly. The model does not invent a linear ramp or assume zero churn.</x:v>
      </x:c>
      <x:c r="K3" s="8" t="str">
        <x:v>Enter activations and churned workspaces explicitly. The model does not invent a linear ramp or assume zero churn.</x:v>
      </x:c>
      <x:c r="L3" s="8" t="str">
        <x:v>Enter activations and churned workspaces explicitly. The model does not invent a linear ramp or assume zero churn.</x:v>
      </x:c>
      <x:c r="M3" s="8" t="str">
        <x:v>Enter activations and churned workspaces explicitly. The model does not invent a linear ramp or assume zero churn.</x:v>
      </x:c>
      <x:c r="N3" s="8" t="str">
        <x:v>Enter activations and churned workspaces explicitly. The model does not invent a linear ramp or assume zero churn.</x:v>
      </x:c>
      <x:c r="O3" s="8" t="str">
        <x:v>Enter activations and churned workspaces explicitly. The model does not invent a linear ramp or assume zero churn.</x:v>
      </x:c>
      <x:c r="P3" s="8" t="str">
        <x:v>Enter activations and churned workspaces explicitly. The model does not invent a linear ramp or assume zero churn.</x:v>
      </x:c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43" t="str">
        <x:v>Month</x:v>
      </x:c>
      <x:c r="B4" s="71" t="str">
        <x:v>Opening D</x:v>
      </x:c>
      <x:c r="C4" s="71" t="str">
        <x:v>Activations D</x:v>
      </x:c>
      <x:c r="D4" s="71" t="str">
        <x:v>Churned D</x:v>
      </x:c>
      <x:c r="E4" s="71" t="str">
        <x:v>Ending D</x:v>
      </x:c>
      <x:c r="F4" s="71" t="str">
        <x:v>Billable D</x:v>
      </x:c>
      <x:c r="G4" s="71" t="str">
        <x:v>Opening B</x:v>
      </x:c>
      <x:c r="H4" s="71" t="str">
        <x:v>Activations B</x:v>
      </x:c>
      <x:c r="I4" s="71" t="str">
        <x:v>Churned B</x:v>
      </x:c>
      <x:c r="J4" s="71" t="str">
        <x:v>Ending B</x:v>
      </x:c>
      <x:c r="K4" s="71" t="str">
        <x:v>Billable B</x:v>
      </x:c>
      <x:c r="L4" s="71" t="str">
        <x:v>Opening U</x:v>
      </x:c>
      <x:c r="M4" s="71" t="str">
        <x:v>Activations U</x:v>
      </x:c>
      <x:c r="N4" s="71" t="str">
        <x:v>Churned U</x:v>
      </x:c>
      <x:c r="O4" s="71" t="str">
        <x:v>Ending U</x:v>
      </x:c>
      <x:c r="P4" s="44" t="str">
        <x:v>Billable U</x:v>
      </x:c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57" t="str">
        <x:v>Month 1</x:v>
      </x:c>
      <x:c r="B5" s="157" t="n">
        <x:f>0</x:f>
        <x:v>0</x:v>
      </x:c>
      <x:c r="C5" s="130" t="str">
        <x:v>INPUT REQUIRED</x:v>
      </x:c>
      <x:c r="D5" s="131" t="str">
        <x:v>INPUT REQUIRED</x:v>
      </x:c>
      <x:c r="E5" s="77" t="str">
        <x:f>IF(AND(ISNUMBER(B5),ISNUMBER(C5),ISNUMBER(D5)),B5+C5-D5,"INPUT REQUIRED")</x:f>
        <x:v>INPUT REQUIRED</x:v>
      </x:c>
      <x:c r="F5" s="77" t="str">
        <x:f>IF(AND(ISNUMBER(B5),ISNUMBER(E5)),(B5+E5)/2,"INPUT REQUIRED")</x:f>
        <x:v>INPUT REQUIRED</x:v>
      </x:c>
      <x:c r="G5" s="77" t="n">
        <x:f>0</x:f>
        <x:v>0</x:v>
      </x:c>
      <x:c r="H5" s="130" t="str">
        <x:v>INPUT REQUIRED</x:v>
      </x:c>
      <x:c r="I5" s="131" t="str">
        <x:v>INPUT REQUIRED</x:v>
      </x:c>
      <x:c r="J5" s="77" t="str">
        <x:f>IF(AND(ISNUMBER(G5),ISNUMBER(H5),ISNUMBER(I5)),G5+H5-I5,"INPUT REQUIRED")</x:f>
        <x:v>INPUT REQUIRED</x:v>
      </x:c>
      <x:c r="K5" s="77" t="str">
        <x:f>IF(AND(ISNUMBER(G5),ISNUMBER(J5)),(G5+J5)/2,"INPUT REQUIRED")</x:f>
        <x:v>INPUT REQUIRED</x:v>
      </x:c>
      <x:c r="L5" s="77" t="n">
        <x:f>0</x:f>
        <x:v>0</x:v>
      </x:c>
      <x:c r="M5" s="130" t="str">
        <x:v>INPUT REQUIRED</x:v>
      </x:c>
      <x:c r="N5" s="131" t="str">
        <x:v>INPUT REQUIRED</x:v>
      </x:c>
      <x:c r="O5" s="77" t="str">
        <x:f>IF(AND(ISNUMBER(L5),ISNUMBER(M5),ISNUMBER(N5)),L5+M5-N5,"INPUT REQUIRED")</x:f>
        <x:v>INPUT REQUIRED</x:v>
      </x:c>
      <x:c r="P5" s="58" t="str">
        <x:f>IF(AND(ISNUMBER(L5),ISNUMBER(O5)),(L5+O5)/2,"INPUT REQUIRED")</x:f>
        <x:v>INPUT REQUIRED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59" t="str">
        <x:v>Month 2</x:v>
      </x:c>
      <x:c r="B6" s="158" t="str">
        <x:f>IF(ISNUMBER(E5),E5,"INPUT REQUIRED")</x:f>
        <x:v>INPUT REQUIRED</x:v>
      </x:c>
      <x:c r="C6" s="132" t="str">
        <x:v>INPUT REQUIRED</x:v>
      </x:c>
      <x:c r="D6" s="133" t="str">
        <x:v>INPUT REQUIRED</x:v>
      </x:c>
      <x:c r="E6" s="78" t="str">
        <x:f>IF(AND(ISNUMBER(B6),ISNUMBER(C6),ISNUMBER(D6)),B6+C6-D6,"INPUT REQUIRED")</x:f>
        <x:v>INPUT REQUIRED</x:v>
      </x:c>
      <x:c r="F6" s="78" t="str">
        <x:f>IF(AND(ISNUMBER(B6),ISNUMBER(E6)),(B6+E6)/2,"INPUT REQUIRED")</x:f>
        <x:v>INPUT REQUIRED</x:v>
      </x:c>
      <x:c r="G6" s="78" t="str">
        <x:f>IF(ISNUMBER(J5),J5,"INPUT REQUIRED")</x:f>
        <x:v>INPUT REQUIRED</x:v>
      </x:c>
      <x:c r="H6" s="132" t="str">
        <x:v>INPUT REQUIRED</x:v>
      </x:c>
      <x:c r="I6" s="133" t="str">
        <x:v>INPUT REQUIRED</x:v>
      </x:c>
      <x:c r="J6" s="78" t="str">
        <x:f>IF(AND(ISNUMBER(G6),ISNUMBER(H6),ISNUMBER(I6)),G6+H6-I6,"INPUT REQUIRED")</x:f>
        <x:v>INPUT REQUIRED</x:v>
      </x:c>
      <x:c r="K6" s="78" t="str">
        <x:f>IF(AND(ISNUMBER(G6),ISNUMBER(J6)),(G6+J6)/2,"INPUT REQUIRED")</x:f>
        <x:v>INPUT REQUIRED</x:v>
      </x:c>
      <x:c r="L6" s="78" t="str">
        <x:f>IF(ISNUMBER(O5),O5,"INPUT REQUIRED")</x:f>
        <x:v>INPUT REQUIRED</x:v>
      </x:c>
      <x:c r="M6" s="132" t="str">
        <x:v>INPUT REQUIRED</x:v>
      </x:c>
      <x:c r="N6" s="133" t="str">
        <x:v>INPUT REQUIRED</x:v>
      </x:c>
      <x:c r="O6" s="78" t="str">
        <x:f>IF(AND(ISNUMBER(L6),ISNUMBER(M6),ISNUMBER(N6)),L6+M6-N6,"INPUT REQUIRED")</x:f>
        <x:v>INPUT REQUIRED</x:v>
      </x:c>
      <x:c r="P6" s="60" t="str">
        <x:f>IF(AND(ISNUMBER(L6),ISNUMBER(O6)),(L6+O6)/2,"INPUT REQUIRED")</x:f>
        <x:v>INPUT REQUIRED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59" t="str">
        <x:v>Month 3</x:v>
      </x:c>
      <x:c r="B7" s="158" t="str">
        <x:f>IF(ISNUMBER(E6),E6,"INPUT REQUIRED")</x:f>
        <x:v>INPUT REQUIRED</x:v>
      </x:c>
      <x:c r="C7" s="132" t="str">
        <x:v>INPUT REQUIRED</x:v>
      </x:c>
      <x:c r="D7" s="133" t="str">
        <x:v>INPUT REQUIRED</x:v>
      </x:c>
      <x:c r="E7" s="78" t="str">
        <x:f>IF(AND(ISNUMBER(B7),ISNUMBER(C7),ISNUMBER(D7)),B7+C7-D7,"INPUT REQUIRED")</x:f>
        <x:v>INPUT REQUIRED</x:v>
      </x:c>
      <x:c r="F7" s="78" t="str">
        <x:f>IF(AND(ISNUMBER(B7),ISNUMBER(E7)),(B7+E7)/2,"INPUT REQUIRED")</x:f>
        <x:v>INPUT REQUIRED</x:v>
      </x:c>
      <x:c r="G7" s="78" t="str">
        <x:f>IF(ISNUMBER(J6),J6,"INPUT REQUIRED")</x:f>
        <x:v>INPUT REQUIRED</x:v>
      </x:c>
      <x:c r="H7" s="132" t="str">
        <x:v>INPUT REQUIRED</x:v>
      </x:c>
      <x:c r="I7" s="133" t="str">
        <x:v>INPUT REQUIRED</x:v>
      </x:c>
      <x:c r="J7" s="78" t="str">
        <x:f>IF(AND(ISNUMBER(G7),ISNUMBER(H7),ISNUMBER(I7)),G7+H7-I7,"INPUT REQUIRED")</x:f>
        <x:v>INPUT REQUIRED</x:v>
      </x:c>
      <x:c r="K7" s="78" t="str">
        <x:f>IF(AND(ISNUMBER(G7),ISNUMBER(J7)),(G7+J7)/2,"INPUT REQUIRED")</x:f>
        <x:v>INPUT REQUIRED</x:v>
      </x:c>
      <x:c r="L7" s="78" t="str">
        <x:f>IF(ISNUMBER(O6),O6,"INPUT REQUIRED")</x:f>
        <x:v>INPUT REQUIRED</x:v>
      </x:c>
      <x:c r="M7" s="132" t="str">
        <x:v>INPUT REQUIRED</x:v>
      </x:c>
      <x:c r="N7" s="133" t="str">
        <x:v>INPUT REQUIRED</x:v>
      </x:c>
      <x:c r="O7" s="78" t="str">
        <x:f>IF(AND(ISNUMBER(L7),ISNUMBER(M7),ISNUMBER(N7)),L7+M7-N7,"INPUT REQUIRED")</x:f>
        <x:v>INPUT REQUIRED</x:v>
      </x:c>
      <x:c r="P7" s="60" t="str">
        <x:f>IF(AND(ISNUMBER(L7),ISNUMBER(O7)),(L7+O7)/2,"INPUT REQUIRED")</x:f>
        <x:v>INPUT REQUIRED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59" t="str">
        <x:v>Month 4</x:v>
      </x:c>
      <x:c r="B8" s="158" t="str">
        <x:f>IF(ISNUMBER(E7),E7,"INPUT REQUIRED")</x:f>
        <x:v>INPUT REQUIRED</x:v>
      </x:c>
      <x:c r="C8" s="132" t="str">
        <x:v>INPUT REQUIRED</x:v>
      </x:c>
      <x:c r="D8" s="133" t="str">
        <x:v>INPUT REQUIRED</x:v>
      </x:c>
      <x:c r="E8" s="78" t="str">
        <x:f>IF(AND(ISNUMBER(B8),ISNUMBER(C8),ISNUMBER(D8)),B8+C8-D8,"INPUT REQUIRED")</x:f>
        <x:v>INPUT REQUIRED</x:v>
      </x:c>
      <x:c r="F8" s="78" t="str">
        <x:f>IF(AND(ISNUMBER(B8),ISNUMBER(E8)),(B8+E8)/2,"INPUT REQUIRED")</x:f>
        <x:v>INPUT REQUIRED</x:v>
      </x:c>
      <x:c r="G8" s="78" t="str">
        <x:f>IF(ISNUMBER(J7),J7,"INPUT REQUIRED")</x:f>
        <x:v>INPUT REQUIRED</x:v>
      </x:c>
      <x:c r="H8" s="132" t="str">
        <x:v>INPUT REQUIRED</x:v>
      </x:c>
      <x:c r="I8" s="133" t="str">
        <x:v>INPUT REQUIRED</x:v>
      </x:c>
      <x:c r="J8" s="78" t="str">
        <x:f>IF(AND(ISNUMBER(G8),ISNUMBER(H8),ISNUMBER(I8)),G8+H8-I8,"INPUT REQUIRED")</x:f>
        <x:v>INPUT REQUIRED</x:v>
      </x:c>
      <x:c r="K8" s="78" t="str">
        <x:f>IF(AND(ISNUMBER(G8),ISNUMBER(J8)),(G8+J8)/2,"INPUT REQUIRED")</x:f>
        <x:v>INPUT REQUIRED</x:v>
      </x:c>
      <x:c r="L8" s="78" t="str">
        <x:f>IF(ISNUMBER(O7),O7,"INPUT REQUIRED")</x:f>
        <x:v>INPUT REQUIRED</x:v>
      </x:c>
      <x:c r="M8" s="132" t="str">
        <x:v>INPUT REQUIRED</x:v>
      </x:c>
      <x:c r="N8" s="133" t="str">
        <x:v>INPUT REQUIRED</x:v>
      </x:c>
      <x:c r="O8" s="78" t="str">
        <x:f>IF(AND(ISNUMBER(L8),ISNUMBER(M8),ISNUMBER(N8)),L8+M8-N8,"INPUT REQUIRED")</x:f>
        <x:v>INPUT REQUIRED</x:v>
      </x:c>
      <x:c r="P8" s="60" t="str">
        <x:f>IF(AND(ISNUMBER(L8),ISNUMBER(O8)),(L8+O8)/2,"INPUT REQUIRED")</x:f>
        <x:v>INPUT REQUIRED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59" t="str">
        <x:v>Month 5</x:v>
      </x:c>
      <x:c r="B9" s="158" t="str">
        <x:f>IF(ISNUMBER(E8),E8,"INPUT REQUIRED")</x:f>
        <x:v>INPUT REQUIRED</x:v>
      </x:c>
      <x:c r="C9" s="132" t="str">
        <x:v>INPUT REQUIRED</x:v>
      </x:c>
      <x:c r="D9" s="133" t="str">
        <x:v>INPUT REQUIRED</x:v>
      </x:c>
      <x:c r="E9" s="78" t="str">
        <x:f>IF(AND(ISNUMBER(B9),ISNUMBER(C9),ISNUMBER(D9)),B9+C9-D9,"INPUT REQUIRED")</x:f>
        <x:v>INPUT REQUIRED</x:v>
      </x:c>
      <x:c r="F9" s="78" t="str">
        <x:f>IF(AND(ISNUMBER(B9),ISNUMBER(E9)),(B9+E9)/2,"INPUT REQUIRED")</x:f>
        <x:v>INPUT REQUIRED</x:v>
      </x:c>
      <x:c r="G9" s="78" t="str">
        <x:f>IF(ISNUMBER(J8),J8,"INPUT REQUIRED")</x:f>
        <x:v>INPUT REQUIRED</x:v>
      </x:c>
      <x:c r="H9" s="132" t="str">
        <x:v>INPUT REQUIRED</x:v>
      </x:c>
      <x:c r="I9" s="133" t="str">
        <x:v>INPUT REQUIRED</x:v>
      </x:c>
      <x:c r="J9" s="78" t="str">
        <x:f>IF(AND(ISNUMBER(G9),ISNUMBER(H9),ISNUMBER(I9)),G9+H9-I9,"INPUT REQUIRED")</x:f>
        <x:v>INPUT REQUIRED</x:v>
      </x:c>
      <x:c r="K9" s="78" t="str">
        <x:f>IF(AND(ISNUMBER(G9),ISNUMBER(J9)),(G9+J9)/2,"INPUT REQUIRED")</x:f>
        <x:v>INPUT REQUIRED</x:v>
      </x:c>
      <x:c r="L9" s="78" t="str">
        <x:f>IF(ISNUMBER(O8),O8,"INPUT REQUIRED")</x:f>
        <x:v>INPUT REQUIRED</x:v>
      </x:c>
      <x:c r="M9" s="132" t="str">
        <x:v>INPUT REQUIRED</x:v>
      </x:c>
      <x:c r="N9" s="133" t="str">
        <x:v>INPUT REQUIRED</x:v>
      </x:c>
      <x:c r="O9" s="78" t="str">
        <x:f>IF(AND(ISNUMBER(L9),ISNUMBER(M9),ISNUMBER(N9)),L9+M9-N9,"INPUT REQUIRED")</x:f>
        <x:v>INPUT REQUIRED</x:v>
      </x:c>
      <x:c r="P9" s="60" t="str">
        <x:f>IF(AND(ISNUMBER(L9),ISNUMBER(O9)),(L9+O9)/2,"INPUT REQUIRED")</x:f>
        <x:v>INPUT REQUIRED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59" t="str">
        <x:v>Month 6</x:v>
      </x:c>
      <x:c r="B10" s="158" t="str">
        <x:f>IF(ISNUMBER(E9),E9,"INPUT REQUIRED")</x:f>
        <x:v>INPUT REQUIRED</x:v>
      </x:c>
      <x:c r="C10" s="132" t="str">
        <x:v>INPUT REQUIRED</x:v>
      </x:c>
      <x:c r="D10" s="133" t="str">
        <x:v>INPUT REQUIRED</x:v>
      </x:c>
      <x:c r="E10" s="78" t="str">
        <x:f>IF(AND(ISNUMBER(B10),ISNUMBER(C10),ISNUMBER(D10)),B10+C10-D10,"INPUT REQUIRED")</x:f>
        <x:v>INPUT REQUIRED</x:v>
      </x:c>
      <x:c r="F10" s="78" t="str">
        <x:f>IF(AND(ISNUMBER(B10),ISNUMBER(E10)),(B10+E10)/2,"INPUT REQUIRED")</x:f>
        <x:v>INPUT REQUIRED</x:v>
      </x:c>
      <x:c r="G10" s="78" t="str">
        <x:f>IF(ISNUMBER(J9),J9,"INPUT REQUIRED")</x:f>
        <x:v>INPUT REQUIRED</x:v>
      </x:c>
      <x:c r="H10" s="132" t="str">
        <x:v>INPUT REQUIRED</x:v>
      </x:c>
      <x:c r="I10" s="133" t="str">
        <x:v>INPUT REQUIRED</x:v>
      </x:c>
      <x:c r="J10" s="78" t="str">
        <x:f>IF(AND(ISNUMBER(G10),ISNUMBER(H10),ISNUMBER(I10)),G10+H10-I10,"INPUT REQUIRED")</x:f>
        <x:v>INPUT REQUIRED</x:v>
      </x:c>
      <x:c r="K10" s="78" t="str">
        <x:f>IF(AND(ISNUMBER(G10),ISNUMBER(J10)),(G10+J10)/2,"INPUT REQUIRED")</x:f>
        <x:v>INPUT REQUIRED</x:v>
      </x:c>
      <x:c r="L10" s="78" t="str">
        <x:f>IF(ISNUMBER(O9),O9,"INPUT REQUIRED")</x:f>
        <x:v>INPUT REQUIRED</x:v>
      </x:c>
      <x:c r="M10" s="132" t="str">
        <x:v>INPUT REQUIRED</x:v>
      </x:c>
      <x:c r="N10" s="133" t="str">
        <x:v>INPUT REQUIRED</x:v>
      </x:c>
      <x:c r="O10" s="78" t="str">
        <x:f>IF(AND(ISNUMBER(L10),ISNUMBER(M10),ISNUMBER(N10)),L10+M10-N10,"INPUT REQUIRED")</x:f>
        <x:v>INPUT REQUIRED</x:v>
      </x:c>
      <x:c r="P10" s="60" t="str">
        <x:f>IF(AND(ISNUMBER(L10),ISNUMBER(O10)),(L10+O10)/2,"INPUT REQUIRED")</x:f>
        <x:v>INPUT REQUIRED</x:v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59" t="str">
        <x:v>Month 7</x:v>
      </x:c>
      <x:c r="B11" s="158" t="str">
        <x:f>IF(ISNUMBER(E10),E10,"INPUT REQUIRED")</x:f>
        <x:v>INPUT REQUIRED</x:v>
      </x:c>
      <x:c r="C11" s="132" t="str">
        <x:v>INPUT REQUIRED</x:v>
      </x:c>
      <x:c r="D11" s="133" t="str">
        <x:v>INPUT REQUIRED</x:v>
      </x:c>
      <x:c r="E11" s="78" t="str">
        <x:f>IF(AND(ISNUMBER(B11),ISNUMBER(C11),ISNUMBER(D11)),B11+C11-D11,"INPUT REQUIRED")</x:f>
        <x:v>INPUT REQUIRED</x:v>
      </x:c>
      <x:c r="F11" s="78" t="str">
        <x:f>IF(AND(ISNUMBER(B11),ISNUMBER(E11)),(B11+E11)/2,"INPUT REQUIRED")</x:f>
        <x:v>INPUT REQUIRED</x:v>
      </x:c>
      <x:c r="G11" s="78" t="str">
        <x:f>IF(ISNUMBER(J10),J10,"INPUT REQUIRED")</x:f>
        <x:v>INPUT REQUIRED</x:v>
      </x:c>
      <x:c r="H11" s="132" t="str">
        <x:v>INPUT REQUIRED</x:v>
      </x:c>
      <x:c r="I11" s="133" t="str">
        <x:v>INPUT REQUIRED</x:v>
      </x:c>
      <x:c r="J11" s="78" t="str">
        <x:f>IF(AND(ISNUMBER(G11),ISNUMBER(H11),ISNUMBER(I11)),G11+H11-I11,"INPUT REQUIRED")</x:f>
        <x:v>INPUT REQUIRED</x:v>
      </x:c>
      <x:c r="K11" s="78" t="str">
        <x:f>IF(AND(ISNUMBER(G11),ISNUMBER(J11)),(G11+J11)/2,"INPUT REQUIRED")</x:f>
        <x:v>INPUT REQUIRED</x:v>
      </x:c>
      <x:c r="L11" s="78" t="str">
        <x:f>IF(ISNUMBER(O10),O10,"INPUT REQUIRED")</x:f>
        <x:v>INPUT REQUIRED</x:v>
      </x:c>
      <x:c r="M11" s="132" t="str">
        <x:v>INPUT REQUIRED</x:v>
      </x:c>
      <x:c r="N11" s="133" t="str">
        <x:v>INPUT REQUIRED</x:v>
      </x:c>
      <x:c r="O11" s="78" t="str">
        <x:f>IF(AND(ISNUMBER(L11),ISNUMBER(M11),ISNUMBER(N11)),L11+M11-N11,"INPUT REQUIRED")</x:f>
        <x:v>INPUT REQUIRED</x:v>
      </x:c>
      <x:c r="P11" s="60" t="str">
        <x:f>IF(AND(ISNUMBER(L11),ISNUMBER(O11)),(L11+O11)/2,"INPUT REQUIRED")</x:f>
        <x:v>INPUT REQUIRED</x:v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59" t="str">
        <x:v>Month 8</x:v>
      </x:c>
      <x:c r="B12" s="158" t="str">
        <x:f>IF(ISNUMBER(E11),E11,"INPUT REQUIRED")</x:f>
        <x:v>INPUT REQUIRED</x:v>
      </x:c>
      <x:c r="C12" s="132" t="str">
        <x:v>INPUT REQUIRED</x:v>
      </x:c>
      <x:c r="D12" s="133" t="str">
        <x:v>INPUT REQUIRED</x:v>
      </x:c>
      <x:c r="E12" s="78" t="str">
        <x:f>IF(AND(ISNUMBER(B12),ISNUMBER(C12),ISNUMBER(D12)),B12+C12-D12,"INPUT REQUIRED")</x:f>
        <x:v>INPUT REQUIRED</x:v>
      </x:c>
      <x:c r="F12" s="78" t="str">
        <x:f>IF(AND(ISNUMBER(B12),ISNUMBER(E12)),(B12+E12)/2,"INPUT REQUIRED")</x:f>
        <x:v>INPUT REQUIRED</x:v>
      </x:c>
      <x:c r="G12" s="78" t="str">
        <x:f>IF(ISNUMBER(J11),J11,"INPUT REQUIRED")</x:f>
        <x:v>INPUT REQUIRED</x:v>
      </x:c>
      <x:c r="H12" s="132" t="str">
        <x:v>INPUT REQUIRED</x:v>
      </x:c>
      <x:c r="I12" s="133" t="str">
        <x:v>INPUT REQUIRED</x:v>
      </x:c>
      <x:c r="J12" s="78" t="str">
        <x:f>IF(AND(ISNUMBER(G12),ISNUMBER(H12),ISNUMBER(I12)),G12+H12-I12,"INPUT REQUIRED")</x:f>
        <x:v>INPUT REQUIRED</x:v>
      </x:c>
      <x:c r="K12" s="78" t="str">
        <x:f>IF(AND(ISNUMBER(G12),ISNUMBER(J12)),(G12+J12)/2,"INPUT REQUIRED")</x:f>
        <x:v>INPUT REQUIRED</x:v>
      </x:c>
      <x:c r="L12" s="78" t="str">
        <x:f>IF(ISNUMBER(O11),O11,"INPUT REQUIRED")</x:f>
        <x:v>INPUT REQUIRED</x:v>
      </x:c>
      <x:c r="M12" s="132" t="str">
        <x:v>INPUT REQUIRED</x:v>
      </x:c>
      <x:c r="N12" s="133" t="str">
        <x:v>INPUT REQUIRED</x:v>
      </x:c>
      <x:c r="O12" s="78" t="str">
        <x:f>IF(AND(ISNUMBER(L12),ISNUMBER(M12),ISNUMBER(N12)),L12+M12-N12,"INPUT REQUIRED")</x:f>
        <x:v>INPUT REQUIRED</x:v>
      </x:c>
      <x:c r="P12" s="60" t="str">
        <x:f>IF(AND(ISNUMBER(L12),ISNUMBER(O12)),(L12+O12)/2,"INPUT REQUIRED")</x:f>
        <x:v>INPUT REQUIRED</x:v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59" t="str">
        <x:v>Month 9</x:v>
      </x:c>
      <x:c r="B13" s="158" t="str">
        <x:f>IF(ISNUMBER(E12),E12,"INPUT REQUIRED")</x:f>
        <x:v>INPUT REQUIRED</x:v>
      </x:c>
      <x:c r="C13" s="132" t="str">
        <x:v>INPUT REQUIRED</x:v>
      </x:c>
      <x:c r="D13" s="133" t="str">
        <x:v>INPUT REQUIRED</x:v>
      </x:c>
      <x:c r="E13" s="78" t="str">
        <x:f>IF(AND(ISNUMBER(B13),ISNUMBER(C13),ISNUMBER(D13)),B13+C13-D13,"INPUT REQUIRED")</x:f>
        <x:v>INPUT REQUIRED</x:v>
      </x:c>
      <x:c r="F13" s="78" t="str">
        <x:f>IF(AND(ISNUMBER(B13),ISNUMBER(E13)),(B13+E13)/2,"INPUT REQUIRED")</x:f>
        <x:v>INPUT REQUIRED</x:v>
      </x:c>
      <x:c r="G13" s="78" t="str">
        <x:f>IF(ISNUMBER(J12),J12,"INPUT REQUIRED")</x:f>
        <x:v>INPUT REQUIRED</x:v>
      </x:c>
      <x:c r="H13" s="132" t="str">
        <x:v>INPUT REQUIRED</x:v>
      </x:c>
      <x:c r="I13" s="133" t="str">
        <x:v>INPUT REQUIRED</x:v>
      </x:c>
      <x:c r="J13" s="78" t="str">
        <x:f>IF(AND(ISNUMBER(G13),ISNUMBER(H13),ISNUMBER(I13)),G13+H13-I13,"INPUT REQUIRED")</x:f>
        <x:v>INPUT REQUIRED</x:v>
      </x:c>
      <x:c r="K13" s="78" t="str">
        <x:f>IF(AND(ISNUMBER(G13),ISNUMBER(J13)),(G13+J13)/2,"INPUT REQUIRED")</x:f>
        <x:v>INPUT REQUIRED</x:v>
      </x:c>
      <x:c r="L13" s="78" t="str">
        <x:f>IF(ISNUMBER(O12),O12,"INPUT REQUIRED")</x:f>
        <x:v>INPUT REQUIRED</x:v>
      </x:c>
      <x:c r="M13" s="132" t="str">
        <x:v>INPUT REQUIRED</x:v>
      </x:c>
      <x:c r="N13" s="133" t="str">
        <x:v>INPUT REQUIRED</x:v>
      </x:c>
      <x:c r="O13" s="78" t="str">
        <x:f>IF(AND(ISNUMBER(L13),ISNUMBER(M13),ISNUMBER(N13)),L13+M13-N13,"INPUT REQUIRED")</x:f>
        <x:v>INPUT REQUIRED</x:v>
      </x:c>
      <x:c r="P13" s="60" t="str">
        <x:f>IF(AND(ISNUMBER(L13),ISNUMBER(O13)),(L13+O13)/2,"INPUT REQUIRED")</x:f>
        <x:v>INPUT REQUIRED</x:v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59" t="str">
        <x:v>Month 10</x:v>
      </x:c>
      <x:c r="B14" s="158" t="str">
        <x:f>IF(ISNUMBER(E13),E13,"INPUT REQUIRED")</x:f>
        <x:v>INPUT REQUIRED</x:v>
      </x:c>
      <x:c r="C14" s="132" t="str">
        <x:v>INPUT REQUIRED</x:v>
      </x:c>
      <x:c r="D14" s="133" t="str">
        <x:v>INPUT REQUIRED</x:v>
      </x:c>
      <x:c r="E14" s="78" t="str">
        <x:f>IF(AND(ISNUMBER(B14),ISNUMBER(C14),ISNUMBER(D14)),B14+C14-D14,"INPUT REQUIRED")</x:f>
        <x:v>INPUT REQUIRED</x:v>
      </x:c>
      <x:c r="F14" s="78" t="str">
        <x:f>IF(AND(ISNUMBER(B14),ISNUMBER(E14)),(B14+E14)/2,"INPUT REQUIRED")</x:f>
        <x:v>INPUT REQUIRED</x:v>
      </x:c>
      <x:c r="G14" s="78" t="str">
        <x:f>IF(ISNUMBER(J13),J13,"INPUT REQUIRED")</x:f>
        <x:v>INPUT REQUIRED</x:v>
      </x:c>
      <x:c r="H14" s="132" t="str">
        <x:v>INPUT REQUIRED</x:v>
      </x:c>
      <x:c r="I14" s="133" t="str">
        <x:v>INPUT REQUIRED</x:v>
      </x:c>
      <x:c r="J14" s="78" t="str">
        <x:f>IF(AND(ISNUMBER(G14),ISNUMBER(H14),ISNUMBER(I14)),G14+H14-I14,"INPUT REQUIRED")</x:f>
        <x:v>INPUT REQUIRED</x:v>
      </x:c>
      <x:c r="K14" s="78" t="str">
        <x:f>IF(AND(ISNUMBER(G14),ISNUMBER(J14)),(G14+J14)/2,"INPUT REQUIRED")</x:f>
        <x:v>INPUT REQUIRED</x:v>
      </x:c>
      <x:c r="L14" s="78" t="str">
        <x:f>IF(ISNUMBER(O13),O13,"INPUT REQUIRED")</x:f>
        <x:v>INPUT REQUIRED</x:v>
      </x:c>
      <x:c r="M14" s="132" t="str">
        <x:v>INPUT REQUIRED</x:v>
      </x:c>
      <x:c r="N14" s="133" t="str">
        <x:v>INPUT REQUIRED</x:v>
      </x:c>
      <x:c r="O14" s="78" t="str">
        <x:f>IF(AND(ISNUMBER(L14),ISNUMBER(M14),ISNUMBER(N14)),L14+M14-N14,"INPUT REQUIRED")</x:f>
        <x:v>INPUT REQUIRED</x:v>
      </x:c>
      <x:c r="P14" s="60" t="str">
        <x:f>IF(AND(ISNUMBER(L14),ISNUMBER(O14)),(L14+O14)/2,"INPUT REQUIRED")</x:f>
        <x:v>INPUT REQUIRED</x:v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59" t="str">
        <x:v>Month 11</x:v>
      </x:c>
      <x:c r="B15" s="158" t="str">
        <x:f>IF(ISNUMBER(E14),E14,"INPUT REQUIRED")</x:f>
        <x:v>INPUT REQUIRED</x:v>
      </x:c>
      <x:c r="C15" s="132" t="str">
        <x:v>INPUT REQUIRED</x:v>
      </x:c>
      <x:c r="D15" s="133" t="str">
        <x:v>INPUT REQUIRED</x:v>
      </x:c>
      <x:c r="E15" s="78" t="str">
        <x:f>IF(AND(ISNUMBER(B15),ISNUMBER(C15),ISNUMBER(D15)),B15+C15-D15,"INPUT REQUIRED")</x:f>
        <x:v>INPUT REQUIRED</x:v>
      </x:c>
      <x:c r="F15" s="78" t="str">
        <x:f>IF(AND(ISNUMBER(B15),ISNUMBER(E15)),(B15+E15)/2,"INPUT REQUIRED")</x:f>
        <x:v>INPUT REQUIRED</x:v>
      </x:c>
      <x:c r="G15" s="78" t="str">
        <x:f>IF(ISNUMBER(J14),J14,"INPUT REQUIRED")</x:f>
        <x:v>INPUT REQUIRED</x:v>
      </x:c>
      <x:c r="H15" s="132" t="str">
        <x:v>INPUT REQUIRED</x:v>
      </x:c>
      <x:c r="I15" s="133" t="str">
        <x:v>INPUT REQUIRED</x:v>
      </x:c>
      <x:c r="J15" s="78" t="str">
        <x:f>IF(AND(ISNUMBER(G15),ISNUMBER(H15),ISNUMBER(I15)),G15+H15-I15,"INPUT REQUIRED")</x:f>
        <x:v>INPUT REQUIRED</x:v>
      </x:c>
      <x:c r="K15" s="78" t="str">
        <x:f>IF(AND(ISNUMBER(G15),ISNUMBER(J15)),(G15+J15)/2,"INPUT REQUIRED")</x:f>
        <x:v>INPUT REQUIRED</x:v>
      </x:c>
      <x:c r="L15" s="78" t="str">
        <x:f>IF(ISNUMBER(O14),O14,"INPUT REQUIRED")</x:f>
        <x:v>INPUT REQUIRED</x:v>
      </x:c>
      <x:c r="M15" s="132" t="str">
        <x:v>INPUT REQUIRED</x:v>
      </x:c>
      <x:c r="N15" s="133" t="str">
        <x:v>INPUT REQUIRED</x:v>
      </x:c>
      <x:c r="O15" s="78" t="str">
        <x:f>IF(AND(ISNUMBER(L15),ISNUMBER(M15),ISNUMBER(N15)),L15+M15-N15,"INPUT REQUIRED")</x:f>
        <x:v>INPUT REQUIRED</x:v>
      </x:c>
      <x:c r="P15" s="60" t="str">
        <x:f>IF(AND(ISNUMBER(L15),ISNUMBER(O15)),(L15+O15)/2,"INPUT REQUIRED")</x:f>
        <x:v>INPUT REQUIRED</x:v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61" t="str">
        <x:v>Month 12</x:v>
      </x:c>
      <x:c r="B16" s="159" t="str">
        <x:f>IF(ISNUMBER(E15),E15,"INPUT REQUIRED")</x:f>
        <x:v>INPUT REQUIRED</x:v>
      </x:c>
      <x:c r="C16" s="134" t="str">
        <x:v>INPUT REQUIRED</x:v>
      </x:c>
      <x:c r="D16" s="135" t="str">
        <x:v>INPUT REQUIRED</x:v>
      </x:c>
      <x:c r="E16" s="79" t="str">
        <x:f>IF(AND(ISNUMBER(B16),ISNUMBER(C16),ISNUMBER(D16)),B16+C16-D16,"INPUT REQUIRED")</x:f>
        <x:v>INPUT REQUIRED</x:v>
      </x:c>
      <x:c r="F16" s="79" t="str">
        <x:f>IF(AND(ISNUMBER(B16),ISNUMBER(E16)),(B16+E16)/2,"INPUT REQUIRED")</x:f>
        <x:v>INPUT REQUIRED</x:v>
      </x:c>
      <x:c r="G16" s="79" t="str">
        <x:f>IF(ISNUMBER(J15),J15,"INPUT REQUIRED")</x:f>
        <x:v>INPUT REQUIRED</x:v>
      </x:c>
      <x:c r="H16" s="134" t="str">
        <x:v>INPUT REQUIRED</x:v>
      </x:c>
      <x:c r="I16" s="135" t="str">
        <x:v>INPUT REQUIRED</x:v>
      </x:c>
      <x:c r="J16" s="79" t="str">
        <x:f>IF(AND(ISNUMBER(G16),ISNUMBER(H16),ISNUMBER(I16)),G16+H16-I16,"INPUT REQUIRED")</x:f>
        <x:v>INPUT REQUIRED</x:v>
      </x:c>
      <x:c r="K16" s="79" t="str">
        <x:f>IF(AND(ISNUMBER(G16),ISNUMBER(J16)),(G16+J16)/2,"INPUT REQUIRED")</x:f>
        <x:v>INPUT REQUIRED</x:v>
      </x:c>
      <x:c r="L16" s="79" t="str">
        <x:f>IF(ISNUMBER(O15),O15,"INPUT REQUIRED")</x:f>
        <x:v>INPUT REQUIRED</x:v>
      </x:c>
      <x:c r="M16" s="134" t="str">
        <x:v>INPUT REQUIRED</x:v>
      </x:c>
      <x:c r="N16" s="135" t="str">
        <x:v>INPUT REQUIRED</x:v>
      </x:c>
      <x:c r="O16" s="79" t="str">
        <x:f>IF(AND(ISNUMBER(L16),ISNUMBER(M16),ISNUMBER(N16)),L16+M16-N16,"INPUT REQUIRED")</x:f>
        <x:v>INPUT REQUIRED</x:v>
      </x:c>
      <x:c r="P16" s="62" t="str">
        <x:f>IF(AND(ISNUMBER(L16),ISNUMBER(O16)),(L16+O16)/2,"INPUT REQUIRED")</x:f>
        <x:v>INPUT REQUIRED</x:v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43" t="str">
        <x:v>Endpoint reconciliation</x:v>
      </x:c>
      <x:c r="B18" s="71" t="str">
        <x:v>Endpoint reconciliation</x:v>
      </x:c>
      <x:c r="C18" s="71" t="str">
        <x:v>Endpoint reconciliation</x:v>
      </x:c>
      <x:c r="D18" s="71" t="str">
        <x:v>Endpoint reconciliation</x:v>
      </x:c>
      <x:c r="E18" s="71" t="str">
        <x:v>Endpoint reconciliation</x:v>
      </x:c>
      <x:c r="F18" s="71" t="str">
        <x:v>Endpoint reconciliation</x:v>
      </x:c>
      <x:c r="G18" s="71" t="str">
        <x:v>Endpoint reconciliation</x:v>
      </x:c>
      <x:c r="H18" s="71" t="str">
        <x:v>Endpoint reconciliation</x:v>
      </x:c>
      <x:c r="I18" s="71" t="str">
        <x:v>Endpoint reconciliation</x:v>
      </x:c>
      <x:c r="J18" s="71" t="str">
        <x:v>Endpoint reconciliation</x:v>
      </x:c>
      <x:c r="K18" s="71" t="str">
        <x:v>Endpoint reconciliation</x:v>
      </x:c>
      <x:c r="L18" s="71" t="str">
        <x:v>Endpoint reconciliation</x:v>
      </x:c>
      <x:c r="M18" s="71" t="str">
        <x:v>Endpoint reconciliation</x:v>
      </x:c>
      <x:c r="N18" s="71" t="str">
        <x:v>Endpoint reconciliation</x:v>
      </x:c>
      <x:c r="O18" s="71" t="str">
        <x:v>Endpoint reconciliation</x:v>
      </x:c>
      <x:c r="P18" s="44" t="str">
        <x:v>Endpoint reconciliation</x:v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66" t="str">
        <x:v>Downside</x:v>
      </x:c>
      <x:c r="B19" s="169" t="str">
        <x:f>IF(ISNUMBER(E16),IF(E16=Assumptions!D6,"PASS","CHECK FAIL"),"INPUT REQUIRED")</x:f>
        <x:v>INPUT REQUIRED</x:v>
      </x:c>
      <x:c r="C19" s="167"/>
      <x:c r="D19" s="167"/>
      <x:c r="E19" s="167"/>
      <x:c r="F19" s="167"/>
      <x:c r="G19" s="167" t="str">
        <x:v>Base</x:v>
      </x:c>
      <x:c r="H19" s="167" t="str">
        <x:f>IF(ISNUMBER(J16),IF(J16=Assumptions!E6,"PASS","CHECK FAIL"),"INPUT REQUIRED")</x:f>
        <x:v>INPUT REQUIRED</x:v>
      </x:c>
      <x:c r="I19" s="167"/>
      <x:c r="J19" s="167"/>
      <x:c r="K19" s="167"/>
      <x:c r="L19" s="167" t="str">
        <x:v>Upside</x:v>
      </x:c>
      <x:c r="M19" s="167" t="str">
        <x:f>IF(ISNUMBER(O16),IF(O16=Assumptions!F6,"PASS","CHECK FAIL"),"INPUT REQUIRED")</x:f>
        <x:v>INPUT REQUIRED</x:v>
      </x:c>
      <x:c r="N19" s="167"/>
      <x:c r="O19" s="167"/>
      <x:c r="P19" s="168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P1"/>
    <x:mergeCell ref="A2:P3"/>
    <x:mergeCell ref="A18:P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1.600000381469727" hidden="0" customHeight="1">
      <x:c r="A1" s="4" t="str">
        <x:v>Selected-Scenario Forecast and Cash Bridge</x:v>
      </x:c>
      <x:c r="B1" s="4" t="str">
        <x:v>Selected-Scenario Forecast and Cash Bridge</x:v>
      </x:c>
      <x:c r="C1" s="4" t="str">
        <x:v>Selected-Scenario Forecast and Cash Bridge</x:v>
      </x:c>
      <x:c r="D1" s="4" t="str">
        <x:v>Selected-Scenario Forecast and Cash Bridge</x:v>
      </x:c>
      <x:c r="E1" s="4" t="str">
        <x:v>Selected-Scenario Forecast and Cash Bridge</x:v>
      </x:c>
      <x:c r="F1" s="4" t="str">
        <x:v>Selected-Scenario Forecast and Cash Bridge</x:v>
      </x:c>
      <x:c r="G1" s="4" t="str">
        <x:v>Selected-Scenario Forecast and Cash Bridge</x:v>
      </x:c>
      <x:c r="H1" s="4" t="str">
        <x:v>Selected-Scenario Forecast and Cash Bridge</x:v>
      </x:c>
      <x:c r="I1" s="4" t="str">
        <x:v>Selected-Scenario Forecast and Cash Bridge</x:v>
      </x:c>
      <x:c r="J1" s="4" t="str">
        <x:v>Selected-Scenario Forecast and Cash Bridge</x:v>
      </x:c>
      <x:c r="K1" s="4" t="str">
        <x:v>Selected-Scenario Forecast and Cash Bridge</x:v>
      </x:c>
      <x:c r="L1" s="4" t="str">
        <x:v>Selected-Scenario Forecast and Cash Bridge</x:v>
      </x:c>
      <x:c r="M1" s="4" t="str">
        <x:v>Selected-Scenario Forecast and Cash Bridge</x:v>
      </x:c>
      <x:c r="N1" s="4" t="str">
        <x:v>Selected-Scenario Forecast and Cash Bridge</x:v>
      </x:c>
      <x:c r="O1" s="4" t="str">
        <x:v>Selected-Scenario Forecast and Cash Bridge</x:v>
      </x:c>
      <x:c r="P1" s="4" t="str">
        <x:v>Selected-Scenario Forecast and Cash Bridge</x:v>
      </x:c>
      <x:c r="Q1" s="4" t="str">
        <x:v>Selected-Scenario Forecast and Cash Bridge</x:v>
      </x:c>
      <x:c r="R1" s="4" t="str">
        <x:v>Selected-Scenario Forecast and Cash Bridge</x:v>
      </x:c>
      <x:c r="S1" s="4" t="str">
        <x:v>Selected-Scenario Forecast and Cash Bridge</x:v>
      </x:c>
      <x:c r="T1" s="4" t="str">
        <x:v>Selected minimum cash buffer</x:v>
      </x:c>
      <x:c r="U1" s="1"/>
      <x:c r="V1" s="1"/>
      <x:c r="W1" s="1"/>
      <x:c r="X1" s="1"/>
      <x:c r="Y1" s="1"/>
      <x:c r="Z1" s="1"/>
    </x:row>
    <x:row r="2" ht="15" hidden="0" customHeight="1">
      <x:c r="A2" s="8" t="str">
        <x:v>Formula-driven monthly model. Recognized revenue is separated from cash receipts. Required-input sentinels suppress unsupported outputs.</x:v>
      </x:c>
      <x:c r="B2" s="8" t="str">
        <x:v>Formula-driven monthly model. Recognized revenue is separated from cash receipts. Required-input sentinels suppress unsupported outputs.</x:v>
      </x:c>
      <x:c r="C2" s="8" t="str">
        <x:v>Formula-driven monthly model. Recognized revenue is separated from cash receipts. Required-input sentinels suppress unsupported outputs.</x:v>
      </x:c>
      <x:c r="D2" s="8" t="str">
        <x:v>Formula-driven monthly model. Recognized revenue is separated from cash receipts. Required-input sentinels suppress unsupported outputs.</x:v>
      </x:c>
      <x:c r="E2" s="8" t="str">
        <x:v>Formula-driven monthly model. Recognized revenue is separated from cash receipts. Required-input sentinels suppress unsupported outputs.</x:v>
      </x:c>
      <x:c r="F2" s="8" t="str">
        <x:v>Formula-driven monthly model. Recognized revenue is separated from cash receipts. Required-input sentinels suppress unsupported outputs.</x:v>
      </x:c>
      <x:c r="G2" s="8" t="str">
        <x:v>Formula-driven monthly model. Recognized revenue is separated from cash receipts. Required-input sentinels suppress unsupported outputs.</x:v>
      </x:c>
      <x:c r="H2" s="8" t="str">
        <x:v>Formula-driven monthly model. Recognized revenue is separated from cash receipts. Required-input sentinels suppress unsupported outputs.</x:v>
      </x:c>
      <x:c r="I2" s="8" t="str">
        <x:v>Formula-driven monthly model. Recognized revenue is separated from cash receipts. Required-input sentinels suppress unsupported outputs.</x:v>
      </x:c>
      <x:c r="J2" s="8" t="str">
        <x:v>Formula-driven monthly model. Recognized revenue is separated from cash receipts. Required-input sentinels suppress unsupported outputs.</x:v>
      </x:c>
      <x:c r="K2" s="8" t="str">
        <x:v>Formula-driven monthly model. Recognized revenue is separated from cash receipts. Required-input sentinels suppress unsupported outputs.</x:v>
      </x:c>
      <x:c r="L2" s="8" t="str">
        <x:v>Formula-driven monthly model. Recognized revenue is separated from cash receipts. Required-input sentinels suppress unsupported outputs.</x:v>
      </x:c>
      <x:c r="M2" s="8" t="str">
        <x:v>Formula-driven monthly model. Recognized revenue is separated from cash receipts. Required-input sentinels suppress unsupported outputs.</x:v>
      </x:c>
      <x:c r="N2" s="8" t="str">
        <x:v>Formula-driven monthly model. Recognized revenue is separated from cash receipts. Required-input sentinels suppress unsupported outputs.</x:v>
      </x:c>
      <x:c r="O2" s="8" t="str">
        <x:v>Formula-driven monthly model. Recognized revenue is separated from cash receipts. Required-input sentinels suppress unsupported outputs.</x:v>
      </x:c>
      <x:c r="P2" s="8" t="str">
        <x:v>Formula-driven monthly model. Recognized revenue is separated from cash receipts. Required-input sentinels suppress unsupported outputs.</x:v>
      </x:c>
      <x:c r="Q2" s="8" t="str">
        <x:v>Formula-driven monthly model. Recognized revenue is separated from cash receipts. Required-input sentinels suppress unsupported outputs.</x:v>
      </x:c>
      <x:c r="R2" s="8" t="str">
        <x:v>Formula-driven monthly model. Recognized revenue is separated from cash receipts. Required-input sentinels suppress unsupported outputs.</x:v>
      </x:c>
      <x:c r="S2" s="8" t="str">
        <x:v>Formula-driven monthly model. Recognized revenue is separated from cash receipts. Required-input sentinels suppress unsupported outputs.</x:v>
      </x:c>
      <x:c r="T2" s="8" t="str">
        <x:f>IF(Assumptions!B3="Downside",Assumptions!D12,IF(Assumptions!B3="Base",Assumptions!E12,IF(Assumptions!B3="Upside",Assumptions!F12,"")))</x:f>
        <x:v>INPUT REQUIRED</x:v>
      </x:c>
      <x:c r="U2" s="1"/>
      <x:c r="V2" s="1"/>
      <x:c r="W2" s="1"/>
      <x:c r="X2" s="1"/>
      <x:c r="Y2" s="1"/>
      <x:c r="Z2" s="1"/>
    </x:row>
    <x:row r="3" ht="15" hidden="0" customHeight="1">
      <x:c r="A3" s="8" t="str">
        <x:v>Formula-driven monthly model. Recognized revenue is separated from cash receipts. Required-input sentinels suppress unsupported outputs.</x:v>
      </x:c>
      <x:c r="B3" s="8" t="str">
        <x:v>Formula-driven monthly model. Recognized revenue is separated from cash receipts. Required-input sentinels suppress unsupported outputs.</x:v>
      </x:c>
      <x:c r="C3" s="8" t="str">
        <x:v>Formula-driven monthly model. Recognized revenue is separated from cash receipts. Required-input sentinels suppress unsupported outputs.</x:v>
      </x:c>
      <x:c r="D3" s="8" t="str">
        <x:v>Formula-driven monthly model. Recognized revenue is separated from cash receipts. Required-input sentinels suppress unsupported outputs.</x:v>
      </x:c>
      <x:c r="E3" s="8" t="str">
        <x:v>Formula-driven monthly model. Recognized revenue is separated from cash receipts. Required-input sentinels suppress unsupported outputs.</x:v>
      </x:c>
      <x:c r="F3" s="8" t="str">
        <x:v>Formula-driven monthly model. Recognized revenue is separated from cash receipts. Required-input sentinels suppress unsupported outputs.</x:v>
      </x:c>
      <x:c r="G3" s="8" t="str">
        <x:v>Formula-driven monthly model. Recognized revenue is separated from cash receipts. Required-input sentinels suppress unsupported outputs.</x:v>
      </x:c>
      <x:c r="H3" s="8" t="str">
        <x:v>Formula-driven monthly model. Recognized revenue is separated from cash receipts. Required-input sentinels suppress unsupported outputs.</x:v>
      </x:c>
      <x:c r="I3" s="8" t="str">
        <x:v>Formula-driven monthly model. Recognized revenue is separated from cash receipts. Required-input sentinels suppress unsupported outputs.</x:v>
      </x:c>
      <x:c r="J3" s="8" t="str">
        <x:v>Formula-driven monthly model. Recognized revenue is separated from cash receipts. Required-input sentinels suppress unsupported outputs.</x:v>
      </x:c>
      <x:c r="K3" s="8" t="str">
        <x:v>Formula-driven monthly model. Recognized revenue is separated from cash receipts. Required-input sentinels suppress unsupported outputs.</x:v>
      </x:c>
      <x:c r="L3" s="8" t="str">
        <x:v>Formula-driven monthly model. Recognized revenue is separated from cash receipts. Required-input sentinels suppress unsupported outputs.</x:v>
      </x:c>
      <x:c r="M3" s="8" t="str">
        <x:v>Formula-driven monthly model. Recognized revenue is separated from cash receipts. Required-input sentinels suppress unsupported outputs.</x:v>
      </x:c>
      <x:c r="N3" s="8" t="str">
        <x:v>Formula-driven monthly model. Recognized revenue is separated from cash receipts. Required-input sentinels suppress unsupported outputs.</x:v>
      </x:c>
      <x:c r="O3" s="8" t="str">
        <x:v>Formula-driven monthly model. Recognized revenue is separated from cash receipts. Required-input sentinels suppress unsupported outputs.</x:v>
      </x:c>
      <x:c r="P3" s="8" t="str">
        <x:v>Formula-driven monthly model. Recognized revenue is separated from cash receipts. Required-input sentinels suppress unsupported outputs.</x:v>
      </x:c>
      <x:c r="Q3" s="8" t="str">
        <x:v>Formula-driven monthly model. Recognized revenue is separated from cash receipts. Required-input sentinels suppress unsupported outputs.</x:v>
      </x:c>
      <x:c r="R3" s="8" t="str">
        <x:v>Formula-driven monthly model. Recognized revenue is separated from cash receipts. Required-input sentinels suppress unsupported outputs.</x:v>
      </x:c>
      <x:c r="S3" s="8" t="str">
        <x:v>Formula-driven monthly model. Recognized revenue is separated from cash receipts. Required-input sentinels suppress unsupported outputs.</x:v>
      </x:c>
      <x:c r="T3" s="8" t="str">
        <x:v>Formula-driven monthly model. Recognized revenue is separated from cash receipts. Required-input sentinels suppress unsupported outputs.</x:v>
      </x:c>
      <x:c r="U3" s="1"/>
      <x:c r="V3" s="1"/>
      <x:c r="W3" s="1"/>
      <x:c r="X3" s="1"/>
      <x:c r="Y3" s="1"/>
      <x:c r="Z3" s="1"/>
    </x:row>
    <x:row r="4" ht="24" hidden="0" customHeight="1">
      <x:c r="A4" s="43" t="str">
        <x:v>Month</x:v>
      </x:c>
      <x:c r="B4" s="71" t="str">
        <x:v>Billable workspaces</x:v>
      </x:c>
      <x:c r="C4" s="71" t="str">
        <x:v>Activations</x:v>
      </x:c>
      <x:c r="D4" s="71" t="str">
        <x:v>Price / workspace</x:v>
      </x:c>
      <x:c r="E4" s="71" t="str">
        <x:v>Subscription revenue</x:v>
      </x:c>
      <x:c r="F4" s="71" t="str">
        <x:v>Setup fee</x:v>
      </x:c>
      <x:c r="G4" s="71" t="str">
        <x:v>Setup revenue</x:v>
      </x:c>
      <x:c r="H4" s="71" t="str">
        <x:v>Recognized revenue</x:v>
      </x:c>
      <x:c r="I4" s="71" t="str">
        <x:v>Variable cost / workspace</x:v>
      </x:c>
      <x:c r="J4" s="71" t="str">
        <x:v>Direct service cost</x:v>
      </x:c>
      <x:c r="K4" s="71" t="str">
        <x:v>Fixed operating cash cost</x:v>
      </x:c>
      <x:c r="L4" s="71" t="str">
        <x:v>Readiness cash cost</x:v>
      </x:c>
      <x:c r="M4" s="71" t="str">
        <x:v>Operating result</x:v>
      </x:c>
      <x:c r="N4" s="71" t="str">
        <x:v>Cash receipts</x:v>
      </x:c>
      <x:c r="O4" s="71" t="str">
        <x:v>Funding inflow</x:v>
      </x:c>
      <x:c r="P4" s="71" t="str">
        <x:v>Cash disbursements</x:v>
      </x:c>
      <x:c r="Q4" s="71" t="str">
        <x:v>Net cash flow</x:v>
      </x:c>
      <x:c r="R4" s="44" t="str">
        <x:v>Ending cash</x:v>
      </x:c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57" t="str">
        <x:v>Month 1</x:v>
      </x:c>
      <x:c r="B5" s="170" t="str">
        <x:f>IF(Assumptions!$B$3="Downside",Capacity_Ramp!F5,IF(Assumptions!$B$3="Base",Capacity_Ramp!K5,IF(Assumptions!$B$3="Upside",Capacity_Ramp!P5,"")))</x:f>
        <x:v>INPUT REQUIRED</x:v>
      </x:c>
      <x:c r="C5" s="170" t="str">
        <x:f>IF(Assumptions!$B$3="Downside",Capacity_Ramp!C5,IF(Assumptions!$B$3="Base",Capacity_Ramp!H5,IF(Assumptions!$B$3="Upside",Capacity_Ramp!M5,"")))</x:f>
        <x:v>INPUT REQUIRED</x:v>
      </x:c>
      <x:c r="D5" s="176" t="str">
        <x:f>IF(Assumptions!$B$3="Downside",Assumptions!D7,IF(Assumptions!$B$3="Base",Assumptions!E7,IF(Assumptions!$B$3="Upside",Assumptions!F7,"")))</x:f>
        <x:v>INPUT REQUIRED</x:v>
      </x:c>
      <x:c r="E5" s="176" t="str">
        <x:f>IF(AND(ISNUMBER(B5),ISNUMBER(D5)),B5*D5,"INPUT REQUIRED")</x:f>
        <x:v>INPUT REQUIRED</x:v>
      </x:c>
      <x:c r="F5" s="176" t="str">
        <x:f>IF(Assumptions!$B$3="Downside",Assumptions!D8,IF(Assumptions!$B$3="Base",Assumptions!E8,IF(Assumptions!$B$3="Upside",Assumptions!F8,"")))</x:f>
        <x:v>INPUT REQUIRED</x:v>
      </x:c>
      <x:c r="G5" s="176" t="str">
        <x:f>IF(AND(ISNUMBER(C5),ISNUMBER(F5)),C5*F5,"INPUT REQUIRED")</x:f>
        <x:v>INPUT REQUIRED</x:v>
      </x:c>
      <x:c r="H5" s="176" t="str">
        <x:f>IF(AND(ISNUMBER(E5),ISNUMBER(G5)),E5+G5,"INPUT REQUIRED")</x:f>
        <x:v>INPUT REQUIRED</x:v>
      </x:c>
      <x:c r="I5" s="176" t="str">
        <x:f>IF(Assumptions!$B$3="Downside",Assumptions!D9,IF(Assumptions!$B$3="Base",Assumptions!E9,IF(Assumptions!$B$3="Upside",Assumptions!F9,"")))</x:f>
        <x:v>INPUT REQUIRED</x:v>
      </x:c>
      <x:c r="J5" s="176" t="str">
        <x:f>IF(AND(ISNUMBER(B5),ISNUMBER(I5)),B5*I5,"INPUT REQUIRED")</x:f>
        <x:v>INPUT REQUIRED</x:v>
      </x:c>
      <x:c r="K5" s="176" t="str">
        <x:f>IF(Assumptions!$B$3="Downside",Assumptions!D10,IF(Assumptions!$B$3="Base",Assumptions!E10,IF(Assumptions!$B$3="Upside",Assumptions!F10,"")))</x:f>
        <x:v>INPUT REQUIRED</x:v>
      </x:c>
      <x:c r="L5" s="176" t="str">
        <x:f>IF(Assumptions!B3="Downside",Assumptions!D13,IF(Assumptions!B3="Base",Assumptions!E13,IF(Assumptions!B3="Upside",Assumptions!F13,"")))</x:f>
        <x:v>INPUT REQUIRED</x:v>
      </x:c>
      <x:c r="M5" s="176" t="str">
        <x:f>IF(AND(ISNUMBER(H5),ISNUMBER(J5),ISNUMBER(K5),ISNUMBER(L5)),H5-J5-K5-L5,"INPUT REQUIRED")</x:f>
        <x:v>INPUT REQUIRED</x:v>
      </x:c>
      <x:c r="N5" s="176" t="str">
        <x:f>IF(AND(ISNUMBER(H5)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5,IF(OR(IF(Assumptions!$B$3="Downside",Assumptions!D15,IF(Assumptions!$B$3="Base",Assumptions!E15,IF(Assumptions!$B$3="Upside",Assumptions!F15,"")))=1,IF(Assumptions!$B$3="Downside",Assumptions!D15,IF(Assumptions!$B$3="Base",Assumptions!E15,IF(Assumptions!$B$3="Upside",Assumptions!F15,"")))=2),0,"INPUT REQUIRED")),"INPUT REQUIRED")</x:f>
        <x:v>INPUT REQUIRED</x:v>
      </x:c>
      <x:c r="O5" s="176" t="str">
        <x:f>IF(Assumptions!B3="Downside",Assumptions!D14,IF(Assumptions!B3="Base",Assumptions!E14,IF(Assumptions!B3="Upside",Assumptions!F14,"")))</x:f>
        <x:v>INPUT REQUIRED</x:v>
      </x:c>
      <x:c r="P5" s="176" t="str">
        <x:f>IF(AND(ISNUMBER(J5),ISNUMBER(K5),ISNUMBER(L5)),J5+K5+L5,"INPUT REQUIRED")</x:f>
        <x:v>INPUT REQUIRED</x:v>
      </x:c>
      <x:c r="Q5" s="176" t="str">
        <x:f>IF(AND(ISNUMBER(N5),ISNUMBER(O5),ISNUMBER(P5)),N5+O5-P5,"INPUT REQUIRED")</x:f>
        <x:v>INPUT REQUIRED</x:v>
      </x:c>
      <x:c r="R5" s="177" t="str">
        <x:f>IF(AND(ISNUMBER(Q5),ISNUMBER(IF(Assumptions!$B$3="Downside",Assumptions!D11,IF(Assumptions!$B$3="Base",Assumptions!E11,IF(Assumptions!$B$3="Upside",Assumptions!F11,""))))),IF(Assumptions!$B$3="Downside",Assumptions!D11,IF(Assumptions!$B$3="Base",Assumptions!E11,IF(Assumptions!$B$3="Upside",Assumptions!F11,"")))+Q5,"INPUT REQUIRED")</x:f>
        <x:v>INPUT REQUIRED</x:v>
      </x:c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59" t="str">
        <x:v>Month 2</x:v>
      </x:c>
      <x:c r="B6" s="172" t="str">
        <x:f>IF(Assumptions!$B$3="Downside",Capacity_Ramp!F6,IF(Assumptions!$B$3="Base",Capacity_Ramp!K6,IF(Assumptions!$B$3="Upside",Capacity_Ramp!P6,"")))</x:f>
        <x:v>INPUT REQUIRED</x:v>
      </x:c>
      <x:c r="C6" s="172" t="str">
        <x:f>IF(Assumptions!$B$3="Downside",Capacity_Ramp!C6,IF(Assumptions!$B$3="Base",Capacity_Ramp!H6,IF(Assumptions!$B$3="Upside",Capacity_Ramp!M6,"")))</x:f>
        <x:v>INPUT REQUIRED</x:v>
      </x:c>
      <x:c r="D6" s="178" t="str">
        <x:f>IF(Assumptions!$B$3="Downside",Assumptions!D7,IF(Assumptions!$B$3="Base",Assumptions!E7,IF(Assumptions!$B$3="Upside",Assumptions!F7,"")))</x:f>
        <x:v>INPUT REQUIRED</x:v>
      </x:c>
      <x:c r="E6" s="178" t="str">
        <x:f>IF(AND(ISNUMBER(B6),ISNUMBER(D6)),B6*D6,"INPUT REQUIRED")</x:f>
        <x:v>INPUT REQUIRED</x:v>
      </x:c>
      <x:c r="F6" s="178" t="str">
        <x:f>IF(Assumptions!$B$3="Downside",Assumptions!D8,IF(Assumptions!$B$3="Base",Assumptions!E8,IF(Assumptions!$B$3="Upside",Assumptions!F8,"")))</x:f>
        <x:v>INPUT REQUIRED</x:v>
      </x:c>
      <x:c r="G6" s="178" t="str">
        <x:f>IF(AND(ISNUMBER(C6),ISNUMBER(F6)),C6*F6,"INPUT REQUIRED")</x:f>
        <x:v>INPUT REQUIRED</x:v>
      </x:c>
      <x:c r="H6" s="178" t="str">
        <x:f>IF(AND(ISNUMBER(E6),ISNUMBER(G6)),E6+G6,"INPUT REQUIRED")</x:f>
        <x:v>INPUT REQUIRED</x:v>
      </x:c>
      <x:c r="I6" s="178" t="str">
        <x:f>IF(Assumptions!$B$3="Downside",Assumptions!D9,IF(Assumptions!$B$3="Base",Assumptions!E9,IF(Assumptions!$B$3="Upside",Assumptions!F9,"")))</x:f>
        <x:v>INPUT REQUIRED</x:v>
      </x:c>
      <x:c r="J6" s="178" t="str">
        <x:f>IF(AND(ISNUMBER(B6),ISNUMBER(I6)),B6*I6,"INPUT REQUIRED")</x:f>
        <x:v>INPUT REQUIRED</x:v>
      </x:c>
      <x:c r="K6" s="178" t="str">
        <x:f>IF(Assumptions!$B$3="Downside",Assumptions!D10,IF(Assumptions!$B$3="Base",Assumptions!E10,IF(Assumptions!$B$3="Upside",Assumptions!F10,"")))</x:f>
        <x:v>INPUT REQUIRED</x:v>
      </x:c>
      <x:c r="L6" s="178" t="n">
        <x:v>0</x:v>
      </x:c>
      <x:c r="M6" s="178" t="str">
        <x:f>IF(AND(ISNUMBER(H6),ISNUMBER(J6),ISNUMBER(K6),ISNUMBER(L6)),H6-J6-K6-L6,"INPUT REQUIRED")</x:f>
        <x:v>INPUT REQUIRED</x:v>
      </x:c>
      <x:c r="N6" s="178" t="str">
        <x:f>IF(AND(ISNUMBER(H6)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6,IF(IF(Assumptions!$B$3="Downside",Assumptions!D15,IF(Assumptions!$B$3="Base",Assumptions!E15,IF(Assumptions!$B$3="Upside",Assumptions!F15,"")))=1,H5,IF(IF(Assumptions!$B$3="Downside",Assumptions!D15,IF(Assumptions!$B$3="Base",Assumptions!E15,IF(Assumptions!$B$3="Upside",Assumptions!F15,"")))=2,0,"INPUT REQUIRED"))),"INPUT REQUIRED")</x:f>
        <x:v>INPUT REQUIRED</x:v>
      </x:c>
      <x:c r="O6" s="178" t="n">
        <x:v>0</x:v>
      </x:c>
      <x:c r="P6" s="178" t="str">
        <x:f>IF(AND(ISNUMBER(J6),ISNUMBER(K6),ISNUMBER(L6)),J6+K6+L6,"INPUT REQUIRED")</x:f>
        <x:v>INPUT REQUIRED</x:v>
      </x:c>
      <x:c r="Q6" s="178" t="str">
        <x:f>IF(AND(ISNUMBER(N6),ISNUMBER(O6),ISNUMBER(P6)),N6+O6-P6,"INPUT REQUIRED")</x:f>
        <x:v>INPUT REQUIRED</x:v>
      </x:c>
      <x:c r="R6" s="179" t="str">
        <x:f>IF(AND(ISNUMBER(Q6),ISNUMBER(R5)),R5+Q6,"INPUT REQUIRED")</x:f>
        <x:v>INPUT REQUIRED</x:v>
      </x:c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59" t="str">
        <x:v>Month 3</x:v>
      </x:c>
      <x:c r="B7" s="172" t="str">
        <x:f>IF(Assumptions!$B$3="Downside",Capacity_Ramp!F7,IF(Assumptions!$B$3="Base",Capacity_Ramp!K7,IF(Assumptions!$B$3="Upside",Capacity_Ramp!P7,"")))</x:f>
        <x:v>INPUT REQUIRED</x:v>
      </x:c>
      <x:c r="C7" s="172" t="str">
        <x:f>IF(Assumptions!$B$3="Downside",Capacity_Ramp!C7,IF(Assumptions!$B$3="Base",Capacity_Ramp!H7,IF(Assumptions!$B$3="Upside",Capacity_Ramp!M7,"")))</x:f>
        <x:v>INPUT REQUIRED</x:v>
      </x:c>
      <x:c r="D7" s="178" t="str">
        <x:f>IF(Assumptions!$B$3="Downside",Assumptions!D7,IF(Assumptions!$B$3="Base",Assumptions!E7,IF(Assumptions!$B$3="Upside",Assumptions!F7,"")))</x:f>
        <x:v>INPUT REQUIRED</x:v>
      </x:c>
      <x:c r="E7" s="178" t="str">
        <x:f>IF(AND(ISNUMBER(B7),ISNUMBER(D7)),B7*D7,"INPUT REQUIRED")</x:f>
        <x:v>INPUT REQUIRED</x:v>
      </x:c>
      <x:c r="F7" s="178" t="str">
        <x:f>IF(Assumptions!$B$3="Downside",Assumptions!D8,IF(Assumptions!$B$3="Base",Assumptions!E8,IF(Assumptions!$B$3="Upside",Assumptions!F8,"")))</x:f>
        <x:v>INPUT REQUIRED</x:v>
      </x:c>
      <x:c r="G7" s="178" t="str">
        <x:f>IF(AND(ISNUMBER(C7),ISNUMBER(F7)),C7*F7,"INPUT REQUIRED")</x:f>
        <x:v>INPUT REQUIRED</x:v>
      </x:c>
      <x:c r="H7" s="178" t="str">
        <x:f>IF(AND(ISNUMBER(E7),ISNUMBER(G7)),E7+G7,"INPUT REQUIRED")</x:f>
        <x:v>INPUT REQUIRED</x:v>
      </x:c>
      <x:c r="I7" s="178" t="str">
        <x:f>IF(Assumptions!$B$3="Downside",Assumptions!D9,IF(Assumptions!$B$3="Base",Assumptions!E9,IF(Assumptions!$B$3="Upside",Assumptions!F9,"")))</x:f>
        <x:v>INPUT REQUIRED</x:v>
      </x:c>
      <x:c r="J7" s="178" t="str">
        <x:f>IF(AND(ISNUMBER(B7),ISNUMBER(I7)),B7*I7,"INPUT REQUIRED")</x:f>
        <x:v>INPUT REQUIRED</x:v>
      </x:c>
      <x:c r="K7" s="178" t="str">
        <x:f>IF(Assumptions!$B$3="Downside",Assumptions!D10,IF(Assumptions!$B$3="Base",Assumptions!E10,IF(Assumptions!$B$3="Upside",Assumptions!F10,"")))</x:f>
        <x:v>INPUT REQUIRED</x:v>
      </x:c>
      <x:c r="L7" s="178" t="n">
        <x:v>0</x:v>
      </x:c>
      <x:c r="M7" s="178" t="str">
        <x:f>IF(AND(ISNUMBER(H7),ISNUMBER(J7),ISNUMBER(K7),ISNUMBER(L7)),H7-J7-K7-L7,"INPUT REQUIRED")</x:f>
        <x:v>INPUT REQUIRED</x:v>
      </x:c>
      <x:c r="N7" s="178" t="str">
        <x:f>IF(AND(ISNUMBER(H7)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7,IF(IF(Assumptions!$B$3="Downside",Assumptions!D15,IF(Assumptions!$B$3="Base",Assumptions!E15,IF(Assumptions!$B$3="Upside",Assumptions!F15,"")))=1,H6,IF(IF(Assumptions!$B$3="Downside",Assumptions!D15,IF(Assumptions!$B$3="Base",Assumptions!E15,IF(Assumptions!$B$3="Upside",Assumptions!F15,"")))=2,H5,"INPUT REQUIRED"))),"INPUT REQUIRED")</x:f>
        <x:v>INPUT REQUIRED</x:v>
      </x:c>
      <x:c r="O7" s="178" t="n">
        <x:v>0</x:v>
      </x:c>
      <x:c r="P7" s="178" t="str">
        <x:f>IF(AND(ISNUMBER(J7),ISNUMBER(K7),ISNUMBER(L7)),J7+K7+L7,"INPUT REQUIRED")</x:f>
        <x:v>INPUT REQUIRED</x:v>
      </x:c>
      <x:c r="Q7" s="178" t="str">
        <x:f>IF(AND(ISNUMBER(N7),ISNUMBER(O7),ISNUMBER(P7)),N7+O7-P7,"INPUT REQUIRED")</x:f>
        <x:v>INPUT REQUIRED</x:v>
      </x:c>
      <x:c r="R7" s="179" t="str">
        <x:f>IF(AND(ISNUMBER(Q7),ISNUMBER(R6)),R6+Q7,"INPUT REQUIRED")</x:f>
        <x:v>INPUT REQUIRED</x:v>
      </x:c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59" t="str">
        <x:v>Month 4</x:v>
      </x:c>
      <x:c r="B8" s="172" t="str">
        <x:f>IF(Assumptions!$B$3="Downside",Capacity_Ramp!F8,IF(Assumptions!$B$3="Base",Capacity_Ramp!K8,IF(Assumptions!$B$3="Upside",Capacity_Ramp!P8,"")))</x:f>
        <x:v>INPUT REQUIRED</x:v>
      </x:c>
      <x:c r="C8" s="172" t="str">
        <x:f>IF(Assumptions!$B$3="Downside",Capacity_Ramp!C8,IF(Assumptions!$B$3="Base",Capacity_Ramp!H8,IF(Assumptions!$B$3="Upside",Capacity_Ramp!M8,"")))</x:f>
        <x:v>INPUT REQUIRED</x:v>
      </x:c>
      <x:c r="D8" s="178" t="str">
        <x:f>IF(Assumptions!$B$3="Downside",Assumptions!D7,IF(Assumptions!$B$3="Base",Assumptions!E7,IF(Assumptions!$B$3="Upside",Assumptions!F7,"")))</x:f>
        <x:v>INPUT REQUIRED</x:v>
      </x:c>
      <x:c r="E8" s="178" t="str">
        <x:f>IF(AND(ISNUMBER(B8),ISNUMBER(D8)),B8*D8,"INPUT REQUIRED")</x:f>
        <x:v>INPUT REQUIRED</x:v>
      </x:c>
      <x:c r="F8" s="178" t="str">
        <x:f>IF(Assumptions!$B$3="Downside",Assumptions!D8,IF(Assumptions!$B$3="Base",Assumptions!E8,IF(Assumptions!$B$3="Upside",Assumptions!F8,"")))</x:f>
        <x:v>INPUT REQUIRED</x:v>
      </x:c>
      <x:c r="G8" s="178" t="str">
        <x:f>IF(AND(ISNUMBER(C8),ISNUMBER(F8)),C8*F8,"INPUT REQUIRED")</x:f>
        <x:v>INPUT REQUIRED</x:v>
      </x:c>
      <x:c r="H8" s="178" t="str">
        <x:f>IF(AND(ISNUMBER(E8),ISNUMBER(G8)),E8+G8,"INPUT REQUIRED")</x:f>
        <x:v>INPUT REQUIRED</x:v>
      </x:c>
      <x:c r="I8" s="178" t="str">
        <x:f>IF(Assumptions!$B$3="Downside",Assumptions!D9,IF(Assumptions!$B$3="Base",Assumptions!E9,IF(Assumptions!$B$3="Upside",Assumptions!F9,"")))</x:f>
        <x:v>INPUT REQUIRED</x:v>
      </x:c>
      <x:c r="J8" s="178" t="str">
        <x:f>IF(AND(ISNUMBER(B8),ISNUMBER(I8)),B8*I8,"INPUT REQUIRED")</x:f>
        <x:v>INPUT REQUIRED</x:v>
      </x:c>
      <x:c r="K8" s="178" t="str">
        <x:f>IF(Assumptions!$B$3="Downside",Assumptions!D10,IF(Assumptions!$B$3="Base",Assumptions!E10,IF(Assumptions!$B$3="Upside",Assumptions!F10,"")))</x:f>
        <x:v>INPUT REQUIRED</x:v>
      </x:c>
      <x:c r="L8" s="178" t="n">
        <x:v>0</x:v>
      </x:c>
      <x:c r="M8" s="178" t="str">
        <x:f>IF(AND(ISNUMBER(H8),ISNUMBER(J8),ISNUMBER(K8),ISNUMBER(L8)),H8-J8-K8-L8,"INPUT REQUIRED")</x:f>
        <x:v>INPUT REQUIRED</x:v>
      </x:c>
      <x:c r="N8" s="178" t="str">
        <x:f>IF(AND(ISNUMBER(H8)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8,IF(IF(Assumptions!$B$3="Downside",Assumptions!D15,IF(Assumptions!$B$3="Base",Assumptions!E15,IF(Assumptions!$B$3="Upside",Assumptions!F15,"")))=1,H7,IF(IF(Assumptions!$B$3="Downside",Assumptions!D15,IF(Assumptions!$B$3="Base",Assumptions!E15,IF(Assumptions!$B$3="Upside",Assumptions!F15,"")))=2,H6,"INPUT REQUIRED"))),"INPUT REQUIRED")</x:f>
        <x:v>INPUT REQUIRED</x:v>
      </x:c>
      <x:c r="O8" s="178" t="n">
        <x:v>0</x:v>
      </x:c>
      <x:c r="P8" s="178" t="str">
        <x:f>IF(AND(ISNUMBER(J8),ISNUMBER(K8),ISNUMBER(L8)),J8+K8+L8,"INPUT REQUIRED")</x:f>
        <x:v>INPUT REQUIRED</x:v>
      </x:c>
      <x:c r="Q8" s="178" t="str">
        <x:f>IF(AND(ISNUMBER(N8),ISNUMBER(O8),ISNUMBER(P8)),N8+O8-P8,"INPUT REQUIRED")</x:f>
        <x:v>INPUT REQUIRED</x:v>
      </x:c>
      <x:c r="R8" s="179" t="str">
        <x:f>IF(AND(ISNUMBER(Q8),ISNUMBER(R7)),R7+Q8,"INPUT REQUIRED")</x:f>
        <x:v>INPUT REQUIRED</x:v>
      </x:c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59" t="str">
        <x:v>Month 5</x:v>
      </x:c>
      <x:c r="B9" s="172" t="str">
        <x:f>IF(Assumptions!$B$3="Downside",Capacity_Ramp!F9,IF(Assumptions!$B$3="Base",Capacity_Ramp!K9,IF(Assumptions!$B$3="Upside",Capacity_Ramp!P9,"")))</x:f>
        <x:v>INPUT REQUIRED</x:v>
      </x:c>
      <x:c r="C9" s="172" t="str">
        <x:f>IF(Assumptions!$B$3="Downside",Capacity_Ramp!C9,IF(Assumptions!$B$3="Base",Capacity_Ramp!H9,IF(Assumptions!$B$3="Upside",Capacity_Ramp!M9,"")))</x:f>
        <x:v>INPUT REQUIRED</x:v>
      </x:c>
      <x:c r="D9" s="178" t="str">
        <x:f>IF(Assumptions!$B$3="Downside",Assumptions!D7,IF(Assumptions!$B$3="Base",Assumptions!E7,IF(Assumptions!$B$3="Upside",Assumptions!F7,"")))</x:f>
        <x:v>INPUT REQUIRED</x:v>
      </x:c>
      <x:c r="E9" s="178" t="str">
        <x:f>IF(AND(ISNUMBER(B9),ISNUMBER(D9)),B9*D9,"INPUT REQUIRED")</x:f>
        <x:v>INPUT REQUIRED</x:v>
      </x:c>
      <x:c r="F9" s="178" t="str">
        <x:f>IF(Assumptions!$B$3="Downside",Assumptions!D8,IF(Assumptions!$B$3="Base",Assumptions!E8,IF(Assumptions!$B$3="Upside",Assumptions!F8,"")))</x:f>
        <x:v>INPUT REQUIRED</x:v>
      </x:c>
      <x:c r="G9" s="178" t="str">
        <x:f>IF(AND(ISNUMBER(C9),ISNUMBER(F9)),C9*F9,"INPUT REQUIRED")</x:f>
        <x:v>INPUT REQUIRED</x:v>
      </x:c>
      <x:c r="H9" s="178" t="str">
        <x:f>IF(AND(ISNUMBER(E9),ISNUMBER(G9)),E9+G9,"INPUT REQUIRED")</x:f>
        <x:v>INPUT REQUIRED</x:v>
      </x:c>
      <x:c r="I9" s="178" t="str">
        <x:f>IF(Assumptions!$B$3="Downside",Assumptions!D9,IF(Assumptions!$B$3="Base",Assumptions!E9,IF(Assumptions!$B$3="Upside",Assumptions!F9,"")))</x:f>
        <x:v>INPUT REQUIRED</x:v>
      </x:c>
      <x:c r="J9" s="178" t="str">
        <x:f>IF(AND(ISNUMBER(B9),ISNUMBER(I9)),B9*I9,"INPUT REQUIRED")</x:f>
        <x:v>INPUT REQUIRED</x:v>
      </x:c>
      <x:c r="K9" s="178" t="str">
        <x:f>IF(Assumptions!$B$3="Downside",Assumptions!D10,IF(Assumptions!$B$3="Base",Assumptions!E10,IF(Assumptions!$B$3="Upside",Assumptions!F10,"")))</x:f>
        <x:v>INPUT REQUIRED</x:v>
      </x:c>
      <x:c r="L9" s="178" t="n">
        <x:v>0</x:v>
      </x:c>
      <x:c r="M9" s="178" t="str">
        <x:f>IF(AND(ISNUMBER(H9),ISNUMBER(J9),ISNUMBER(K9),ISNUMBER(L9)),H9-J9-K9-L9,"INPUT REQUIRED")</x:f>
        <x:v>INPUT REQUIRED</x:v>
      </x:c>
      <x:c r="N9" s="178" t="str">
        <x:f>IF(AND(ISNUMBER(H9)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9,IF(IF(Assumptions!$B$3="Downside",Assumptions!D15,IF(Assumptions!$B$3="Base",Assumptions!E15,IF(Assumptions!$B$3="Upside",Assumptions!F15,"")))=1,H8,IF(IF(Assumptions!$B$3="Downside",Assumptions!D15,IF(Assumptions!$B$3="Base",Assumptions!E15,IF(Assumptions!$B$3="Upside",Assumptions!F15,"")))=2,H7,"INPUT REQUIRED"))),"INPUT REQUIRED")</x:f>
        <x:v>INPUT REQUIRED</x:v>
      </x:c>
      <x:c r="O9" s="178" t="n">
        <x:v>0</x:v>
      </x:c>
      <x:c r="P9" s="178" t="str">
        <x:f>IF(AND(ISNUMBER(J9),ISNUMBER(K9),ISNUMBER(L9)),J9+K9+L9,"INPUT REQUIRED")</x:f>
        <x:v>INPUT REQUIRED</x:v>
      </x:c>
      <x:c r="Q9" s="178" t="str">
        <x:f>IF(AND(ISNUMBER(N9),ISNUMBER(O9),ISNUMBER(P9)),N9+O9-P9,"INPUT REQUIRED")</x:f>
        <x:v>INPUT REQUIRED</x:v>
      </x:c>
      <x:c r="R9" s="179" t="str">
        <x:f>IF(AND(ISNUMBER(Q9),ISNUMBER(R8)),R8+Q9,"INPUT REQUIRED")</x:f>
        <x:v>INPUT REQUIRED</x:v>
      </x:c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59" t="str">
        <x:v>Month 6</x:v>
      </x:c>
      <x:c r="B10" s="172" t="str">
        <x:f>IF(Assumptions!$B$3="Downside",Capacity_Ramp!F10,IF(Assumptions!$B$3="Base",Capacity_Ramp!K10,IF(Assumptions!$B$3="Upside",Capacity_Ramp!P10,"")))</x:f>
        <x:v>INPUT REQUIRED</x:v>
      </x:c>
      <x:c r="C10" s="172" t="str">
        <x:f>IF(Assumptions!$B$3="Downside",Capacity_Ramp!C10,IF(Assumptions!$B$3="Base",Capacity_Ramp!H10,IF(Assumptions!$B$3="Upside",Capacity_Ramp!M10,"")))</x:f>
        <x:v>INPUT REQUIRED</x:v>
      </x:c>
      <x:c r="D10" s="178" t="str">
        <x:f>IF(Assumptions!$B$3="Downside",Assumptions!D7,IF(Assumptions!$B$3="Base",Assumptions!E7,IF(Assumptions!$B$3="Upside",Assumptions!F7,"")))</x:f>
        <x:v>INPUT REQUIRED</x:v>
      </x:c>
      <x:c r="E10" s="178" t="str">
        <x:f>IF(AND(ISNUMBER(B10),ISNUMBER(D10)),B10*D10,"INPUT REQUIRED")</x:f>
        <x:v>INPUT REQUIRED</x:v>
      </x:c>
      <x:c r="F10" s="178" t="str">
        <x:f>IF(Assumptions!$B$3="Downside",Assumptions!D8,IF(Assumptions!$B$3="Base",Assumptions!E8,IF(Assumptions!$B$3="Upside",Assumptions!F8,"")))</x:f>
        <x:v>INPUT REQUIRED</x:v>
      </x:c>
      <x:c r="G10" s="178" t="str">
        <x:f>IF(AND(ISNUMBER(C10),ISNUMBER(F10)),C10*F10,"INPUT REQUIRED")</x:f>
        <x:v>INPUT REQUIRED</x:v>
      </x:c>
      <x:c r="H10" s="178" t="str">
        <x:f>IF(AND(ISNUMBER(E10),ISNUMBER(G10)),E10+G10,"INPUT REQUIRED")</x:f>
        <x:v>INPUT REQUIRED</x:v>
      </x:c>
      <x:c r="I10" s="178" t="str">
        <x:f>IF(Assumptions!$B$3="Downside",Assumptions!D9,IF(Assumptions!$B$3="Base",Assumptions!E9,IF(Assumptions!$B$3="Upside",Assumptions!F9,"")))</x:f>
        <x:v>INPUT REQUIRED</x:v>
      </x:c>
      <x:c r="J10" s="178" t="str">
        <x:f>IF(AND(ISNUMBER(B10),ISNUMBER(I10)),B10*I10,"INPUT REQUIRED")</x:f>
        <x:v>INPUT REQUIRED</x:v>
      </x:c>
      <x:c r="K10" s="178" t="str">
        <x:f>IF(Assumptions!$B$3="Downside",Assumptions!D10,IF(Assumptions!$B$3="Base",Assumptions!E10,IF(Assumptions!$B$3="Upside",Assumptions!F10,"")))</x:f>
        <x:v>INPUT REQUIRED</x:v>
      </x:c>
      <x:c r="L10" s="178" t="n">
        <x:v>0</x:v>
      </x:c>
      <x:c r="M10" s="178" t="str">
        <x:f>IF(AND(ISNUMBER(H10),ISNUMBER(J10),ISNUMBER(K10),ISNUMBER(L10)),H10-J10-K10-L10,"INPUT REQUIRED")</x:f>
        <x:v>INPUT REQUIRED</x:v>
      </x:c>
      <x:c r="N10" s="178" t="str">
        <x:f>IF(AND(ISNUMBER(H10)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10,IF(IF(Assumptions!$B$3="Downside",Assumptions!D15,IF(Assumptions!$B$3="Base",Assumptions!E15,IF(Assumptions!$B$3="Upside",Assumptions!F15,"")))=1,H9,IF(IF(Assumptions!$B$3="Downside",Assumptions!D15,IF(Assumptions!$B$3="Base",Assumptions!E15,IF(Assumptions!$B$3="Upside",Assumptions!F15,"")))=2,H8,"INPUT REQUIRED"))),"INPUT REQUIRED")</x:f>
        <x:v>INPUT REQUIRED</x:v>
      </x:c>
      <x:c r="O10" s="178" t="n">
        <x:v>0</x:v>
      </x:c>
      <x:c r="P10" s="178" t="str">
        <x:f>IF(AND(ISNUMBER(J10),ISNUMBER(K10),ISNUMBER(L10)),J10+K10+L10,"INPUT REQUIRED")</x:f>
        <x:v>INPUT REQUIRED</x:v>
      </x:c>
      <x:c r="Q10" s="178" t="str">
        <x:f>IF(AND(ISNUMBER(N10),ISNUMBER(O10),ISNUMBER(P10)),N10+O10-P10,"INPUT REQUIRED")</x:f>
        <x:v>INPUT REQUIRED</x:v>
      </x:c>
      <x:c r="R10" s="179" t="str">
        <x:f>IF(AND(ISNUMBER(Q10),ISNUMBER(R9)),R9+Q10,"INPUT REQUIRED")</x:f>
        <x:v>INPUT REQUIRED</x:v>
      </x:c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59" t="str">
        <x:v>Month 7</x:v>
      </x:c>
      <x:c r="B11" s="172" t="str">
        <x:f>IF(Assumptions!$B$3="Downside",Capacity_Ramp!F11,IF(Assumptions!$B$3="Base",Capacity_Ramp!K11,IF(Assumptions!$B$3="Upside",Capacity_Ramp!P11,"")))</x:f>
        <x:v>INPUT REQUIRED</x:v>
      </x:c>
      <x:c r="C11" s="172" t="str">
        <x:f>IF(Assumptions!$B$3="Downside",Capacity_Ramp!C11,IF(Assumptions!$B$3="Base",Capacity_Ramp!H11,IF(Assumptions!$B$3="Upside",Capacity_Ramp!M11,"")))</x:f>
        <x:v>INPUT REQUIRED</x:v>
      </x:c>
      <x:c r="D11" s="178" t="str">
        <x:f>IF(Assumptions!$B$3="Downside",Assumptions!D7,IF(Assumptions!$B$3="Base",Assumptions!E7,IF(Assumptions!$B$3="Upside",Assumptions!F7,"")))</x:f>
        <x:v>INPUT REQUIRED</x:v>
      </x:c>
      <x:c r="E11" s="178" t="str">
        <x:f>IF(AND(ISNUMBER(B11),ISNUMBER(D11)),B11*D11,"INPUT REQUIRED")</x:f>
        <x:v>INPUT REQUIRED</x:v>
      </x:c>
      <x:c r="F11" s="178" t="str">
        <x:f>IF(Assumptions!$B$3="Downside",Assumptions!D8,IF(Assumptions!$B$3="Base",Assumptions!E8,IF(Assumptions!$B$3="Upside",Assumptions!F8,"")))</x:f>
        <x:v>INPUT REQUIRED</x:v>
      </x:c>
      <x:c r="G11" s="178" t="str">
        <x:f>IF(AND(ISNUMBER(C11),ISNUMBER(F11)),C11*F11,"INPUT REQUIRED")</x:f>
        <x:v>INPUT REQUIRED</x:v>
      </x:c>
      <x:c r="H11" s="178" t="str">
        <x:f>IF(AND(ISNUMBER(E11),ISNUMBER(G11)),E11+G11,"INPUT REQUIRED")</x:f>
        <x:v>INPUT REQUIRED</x:v>
      </x:c>
      <x:c r="I11" s="178" t="str">
        <x:f>IF(Assumptions!$B$3="Downside",Assumptions!D9,IF(Assumptions!$B$3="Base",Assumptions!E9,IF(Assumptions!$B$3="Upside",Assumptions!F9,"")))</x:f>
        <x:v>INPUT REQUIRED</x:v>
      </x:c>
      <x:c r="J11" s="178" t="str">
        <x:f>IF(AND(ISNUMBER(B11),ISNUMBER(I11)),B11*I11,"INPUT REQUIRED")</x:f>
        <x:v>INPUT REQUIRED</x:v>
      </x:c>
      <x:c r="K11" s="178" t="str">
        <x:f>IF(Assumptions!$B$3="Downside",Assumptions!D10,IF(Assumptions!$B$3="Base",Assumptions!E10,IF(Assumptions!$B$3="Upside",Assumptions!F10,"")))</x:f>
        <x:v>INPUT REQUIRED</x:v>
      </x:c>
      <x:c r="L11" s="178" t="n">
        <x:v>0</x:v>
      </x:c>
      <x:c r="M11" s="178" t="str">
        <x:f>IF(AND(ISNUMBER(H11),ISNUMBER(J11),ISNUMBER(K11),ISNUMBER(L11)),H11-J11-K11-L11,"INPUT REQUIRED")</x:f>
        <x:v>INPUT REQUIRED</x:v>
      </x:c>
      <x:c r="N11" s="178" t="str">
        <x:f>IF(AND(ISNUMBER(H11)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11,IF(IF(Assumptions!$B$3="Downside",Assumptions!D15,IF(Assumptions!$B$3="Base",Assumptions!E15,IF(Assumptions!$B$3="Upside",Assumptions!F15,"")))=1,H10,IF(IF(Assumptions!$B$3="Downside",Assumptions!D15,IF(Assumptions!$B$3="Base",Assumptions!E15,IF(Assumptions!$B$3="Upside",Assumptions!F15,"")))=2,H9,"INPUT REQUIRED"))),"INPUT REQUIRED")</x:f>
        <x:v>INPUT REQUIRED</x:v>
      </x:c>
      <x:c r="O11" s="178" t="n">
        <x:v>0</x:v>
      </x:c>
      <x:c r="P11" s="178" t="str">
        <x:f>IF(AND(ISNUMBER(J11),ISNUMBER(K11),ISNUMBER(L11)),J11+K11+L11,"INPUT REQUIRED")</x:f>
        <x:v>INPUT REQUIRED</x:v>
      </x:c>
      <x:c r="Q11" s="178" t="str">
        <x:f>IF(AND(ISNUMBER(N11),ISNUMBER(O11),ISNUMBER(P11)),N11+O11-P11,"INPUT REQUIRED")</x:f>
        <x:v>INPUT REQUIRED</x:v>
      </x:c>
      <x:c r="R11" s="179" t="str">
        <x:f>IF(AND(ISNUMBER(Q11),ISNUMBER(R10)),R10+Q11,"INPUT REQUIRED")</x:f>
        <x:v>INPUT REQUIRED</x:v>
      </x:c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59" t="str">
        <x:v>Month 8</x:v>
      </x:c>
      <x:c r="B12" s="172" t="str">
        <x:f>IF(Assumptions!$B$3="Downside",Capacity_Ramp!F12,IF(Assumptions!$B$3="Base",Capacity_Ramp!K12,IF(Assumptions!$B$3="Upside",Capacity_Ramp!P12,"")))</x:f>
        <x:v>INPUT REQUIRED</x:v>
      </x:c>
      <x:c r="C12" s="172" t="str">
        <x:f>IF(Assumptions!$B$3="Downside",Capacity_Ramp!C12,IF(Assumptions!$B$3="Base",Capacity_Ramp!H12,IF(Assumptions!$B$3="Upside",Capacity_Ramp!M12,"")))</x:f>
        <x:v>INPUT REQUIRED</x:v>
      </x:c>
      <x:c r="D12" s="178" t="str">
        <x:f>IF(Assumptions!$B$3="Downside",Assumptions!D7,IF(Assumptions!$B$3="Base",Assumptions!E7,IF(Assumptions!$B$3="Upside",Assumptions!F7,"")))</x:f>
        <x:v>INPUT REQUIRED</x:v>
      </x:c>
      <x:c r="E12" s="178" t="str">
        <x:f>IF(AND(ISNUMBER(B12),ISNUMBER(D12)),B12*D12,"INPUT REQUIRED")</x:f>
        <x:v>INPUT REQUIRED</x:v>
      </x:c>
      <x:c r="F12" s="178" t="str">
        <x:f>IF(Assumptions!$B$3="Downside",Assumptions!D8,IF(Assumptions!$B$3="Base",Assumptions!E8,IF(Assumptions!$B$3="Upside",Assumptions!F8,"")))</x:f>
        <x:v>INPUT REQUIRED</x:v>
      </x:c>
      <x:c r="G12" s="178" t="str">
        <x:f>IF(AND(ISNUMBER(C12),ISNUMBER(F12)),C12*F12,"INPUT REQUIRED")</x:f>
        <x:v>INPUT REQUIRED</x:v>
      </x:c>
      <x:c r="H12" s="178" t="str">
        <x:f>IF(AND(ISNUMBER(E12),ISNUMBER(G12)),E12+G12,"INPUT REQUIRED")</x:f>
        <x:v>INPUT REQUIRED</x:v>
      </x:c>
      <x:c r="I12" s="178" t="str">
        <x:f>IF(Assumptions!$B$3="Downside",Assumptions!D9,IF(Assumptions!$B$3="Base",Assumptions!E9,IF(Assumptions!$B$3="Upside",Assumptions!F9,"")))</x:f>
        <x:v>INPUT REQUIRED</x:v>
      </x:c>
      <x:c r="J12" s="178" t="str">
        <x:f>IF(AND(ISNUMBER(B12),ISNUMBER(I12)),B12*I12,"INPUT REQUIRED")</x:f>
        <x:v>INPUT REQUIRED</x:v>
      </x:c>
      <x:c r="K12" s="178" t="str">
        <x:f>IF(Assumptions!$B$3="Downside",Assumptions!D10,IF(Assumptions!$B$3="Base",Assumptions!E10,IF(Assumptions!$B$3="Upside",Assumptions!F10,"")))</x:f>
        <x:v>INPUT REQUIRED</x:v>
      </x:c>
      <x:c r="L12" s="178" t="n">
        <x:v>0</x:v>
      </x:c>
      <x:c r="M12" s="178" t="str">
        <x:f>IF(AND(ISNUMBER(H12),ISNUMBER(J12),ISNUMBER(K12),ISNUMBER(L12)),H12-J12-K12-L12,"INPUT REQUIRED")</x:f>
        <x:v>INPUT REQUIRED</x:v>
      </x:c>
      <x:c r="N12" s="178" t="str">
        <x:f>IF(AND(ISNUMBER(H12)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12,IF(IF(Assumptions!$B$3="Downside",Assumptions!D15,IF(Assumptions!$B$3="Base",Assumptions!E15,IF(Assumptions!$B$3="Upside",Assumptions!F15,"")))=1,H11,IF(IF(Assumptions!$B$3="Downside",Assumptions!D15,IF(Assumptions!$B$3="Base",Assumptions!E15,IF(Assumptions!$B$3="Upside",Assumptions!F15,"")))=2,H10,"INPUT REQUIRED"))),"INPUT REQUIRED")</x:f>
        <x:v>INPUT REQUIRED</x:v>
      </x:c>
      <x:c r="O12" s="178" t="n">
        <x:v>0</x:v>
      </x:c>
      <x:c r="P12" s="178" t="str">
        <x:f>IF(AND(ISNUMBER(J12),ISNUMBER(K12),ISNUMBER(L12)),J12+K12+L12,"INPUT REQUIRED")</x:f>
        <x:v>INPUT REQUIRED</x:v>
      </x:c>
      <x:c r="Q12" s="178" t="str">
        <x:f>IF(AND(ISNUMBER(N12),ISNUMBER(O12),ISNUMBER(P12)),N12+O12-P12,"INPUT REQUIRED")</x:f>
        <x:v>INPUT REQUIRED</x:v>
      </x:c>
      <x:c r="R12" s="179" t="str">
        <x:f>IF(AND(ISNUMBER(Q12),ISNUMBER(R11)),R11+Q12,"INPUT REQUIRED")</x:f>
        <x:v>INPUT REQUIRED</x:v>
      </x:c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59" t="str">
        <x:v>Month 9</x:v>
      </x:c>
      <x:c r="B13" s="172" t="str">
        <x:f>IF(Assumptions!$B$3="Downside",Capacity_Ramp!F13,IF(Assumptions!$B$3="Base",Capacity_Ramp!K13,IF(Assumptions!$B$3="Upside",Capacity_Ramp!P13,"")))</x:f>
        <x:v>INPUT REQUIRED</x:v>
      </x:c>
      <x:c r="C13" s="172" t="str">
        <x:f>IF(Assumptions!$B$3="Downside",Capacity_Ramp!C13,IF(Assumptions!$B$3="Base",Capacity_Ramp!H13,IF(Assumptions!$B$3="Upside",Capacity_Ramp!M13,"")))</x:f>
        <x:v>INPUT REQUIRED</x:v>
      </x:c>
      <x:c r="D13" s="178" t="str">
        <x:f>IF(Assumptions!$B$3="Downside",Assumptions!D7,IF(Assumptions!$B$3="Base",Assumptions!E7,IF(Assumptions!$B$3="Upside",Assumptions!F7,"")))</x:f>
        <x:v>INPUT REQUIRED</x:v>
      </x:c>
      <x:c r="E13" s="178" t="str">
        <x:f>IF(AND(ISNUMBER(B13),ISNUMBER(D13)),B13*D13,"INPUT REQUIRED")</x:f>
        <x:v>INPUT REQUIRED</x:v>
      </x:c>
      <x:c r="F13" s="178" t="str">
        <x:f>IF(Assumptions!$B$3="Downside",Assumptions!D8,IF(Assumptions!$B$3="Base",Assumptions!E8,IF(Assumptions!$B$3="Upside",Assumptions!F8,"")))</x:f>
        <x:v>INPUT REQUIRED</x:v>
      </x:c>
      <x:c r="G13" s="178" t="str">
        <x:f>IF(AND(ISNUMBER(C13),ISNUMBER(F13)),C13*F13,"INPUT REQUIRED")</x:f>
        <x:v>INPUT REQUIRED</x:v>
      </x:c>
      <x:c r="H13" s="178" t="str">
        <x:f>IF(AND(ISNUMBER(E13),ISNUMBER(G13)),E13+G13,"INPUT REQUIRED")</x:f>
        <x:v>INPUT REQUIRED</x:v>
      </x:c>
      <x:c r="I13" s="178" t="str">
        <x:f>IF(Assumptions!$B$3="Downside",Assumptions!D9,IF(Assumptions!$B$3="Base",Assumptions!E9,IF(Assumptions!$B$3="Upside",Assumptions!F9,"")))</x:f>
        <x:v>INPUT REQUIRED</x:v>
      </x:c>
      <x:c r="J13" s="178" t="str">
        <x:f>IF(AND(ISNUMBER(B13),ISNUMBER(I13)),B13*I13,"INPUT REQUIRED")</x:f>
        <x:v>INPUT REQUIRED</x:v>
      </x:c>
      <x:c r="K13" s="178" t="str">
        <x:f>IF(Assumptions!$B$3="Downside",Assumptions!D10,IF(Assumptions!$B$3="Base",Assumptions!E10,IF(Assumptions!$B$3="Upside",Assumptions!F10,"")))</x:f>
        <x:v>INPUT REQUIRED</x:v>
      </x:c>
      <x:c r="L13" s="178" t="n">
        <x:v>0</x:v>
      </x:c>
      <x:c r="M13" s="178" t="str">
        <x:f>IF(AND(ISNUMBER(H13),ISNUMBER(J13),ISNUMBER(K13),ISNUMBER(L13)),H13-J13-K13-L13,"INPUT REQUIRED")</x:f>
        <x:v>INPUT REQUIRED</x:v>
      </x:c>
      <x:c r="N13" s="178" t="str">
        <x:f>IF(AND(ISNUMBER(H13)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13,IF(IF(Assumptions!$B$3="Downside",Assumptions!D15,IF(Assumptions!$B$3="Base",Assumptions!E15,IF(Assumptions!$B$3="Upside",Assumptions!F15,"")))=1,H12,IF(IF(Assumptions!$B$3="Downside",Assumptions!D15,IF(Assumptions!$B$3="Base",Assumptions!E15,IF(Assumptions!$B$3="Upside",Assumptions!F15,"")))=2,H11,"INPUT REQUIRED"))),"INPUT REQUIRED")</x:f>
        <x:v>INPUT REQUIRED</x:v>
      </x:c>
      <x:c r="O13" s="178" t="n">
        <x:v>0</x:v>
      </x:c>
      <x:c r="P13" s="178" t="str">
        <x:f>IF(AND(ISNUMBER(J13),ISNUMBER(K13),ISNUMBER(L13)),J13+K13+L13,"INPUT REQUIRED")</x:f>
        <x:v>INPUT REQUIRED</x:v>
      </x:c>
      <x:c r="Q13" s="178" t="str">
        <x:f>IF(AND(ISNUMBER(N13),ISNUMBER(O13),ISNUMBER(P13)),N13+O13-P13,"INPUT REQUIRED")</x:f>
        <x:v>INPUT REQUIRED</x:v>
      </x:c>
      <x:c r="R13" s="179" t="str">
        <x:f>IF(AND(ISNUMBER(Q13),ISNUMBER(R12)),R12+Q13,"INPUT REQUIRED")</x:f>
        <x:v>INPUT REQUIRED</x:v>
      </x:c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59" t="str">
        <x:v>Month 10</x:v>
      </x:c>
      <x:c r="B14" s="172" t="str">
        <x:f>IF(Assumptions!$B$3="Downside",Capacity_Ramp!F14,IF(Assumptions!$B$3="Base",Capacity_Ramp!K14,IF(Assumptions!$B$3="Upside",Capacity_Ramp!P14,"")))</x:f>
        <x:v>INPUT REQUIRED</x:v>
      </x:c>
      <x:c r="C14" s="172" t="str">
        <x:f>IF(Assumptions!$B$3="Downside",Capacity_Ramp!C14,IF(Assumptions!$B$3="Base",Capacity_Ramp!H14,IF(Assumptions!$B$3="Upside",Capacity_Ramp!M14,"")))</x:f>
        <x:v>INPUT REQUIRED</x:v>
      </x:c>
      <x:c r="D14" s="178" t="str">
        <x:f>IF(Assumptions!$B$3="Downside",Assumptions!D7,IF(Assumptions!$B$3="Base",Assumptions!E7,IF(Assumptions!$B$3="Upside",Assumptions!F7,"")))</x:f>
        <x:v>INPUT REQUIRED</x:v>
      </x:c>
      <x:c r="E14" s="178" t="str">
        <x:f>IF(AND(ISNUMBER(B14),ISNUMBER(D14)),B14*D14,"INPUT REQUIRED")</x:f>
        <x:v>INPUT REQUIRED</x:v>
      </x:c>
      <x:c r="F14" s="178" t="str">
        <x:f>IF(Assumptions!$B$3="Downside",Assumptions!D8,IF(Assumptions!$B$3="Base",Assumptions!E8,IF(Assumptions!$B$3="Upside",Assumptions!F8,"")))</x:f>
        <x:v>INPUT REQUIRED</x:v>
      </x:c>
      <x:c r="G14" s="178" t="str">
        <x:f>IF(AND(ISNUMBER(C14),ISNUMBER(F14)),C14*F14,"INPUT REQUIRED")</x:f>
        <x:v>INPUT REQUIRED</x:v>
      </x:c>
      <x:c r="H14" s="178" t="str">
        <x:f>IF(AND(ISNUMBER(E14),ISNUMBER(G14)),E14+G14,"INPUT REQUIRED")</x:f>
        <x:v>INPUT REQUIRED</x:v>
      </x:c>
      <x:c r="I14" s="178" t="str">
        <x:f>IF(Assumptions!$B$3="Downside",Assumptions!D9,IF(Assumptions!$B$3="Base",Assumptions!E9,IF(Assumptions!$B$3="Upside",Assumptions!F9,"")))</x:f>
        <x:v>INPUT REQUIRED</x:v>
      </x:c>
      <x:c r="J14" s="178" t="str">
        <x:f>IF(AND(ISNUMBER(B14),ISNUMBER(I14)),B14*I14,"INPUT REQUIRED")</x:f>
        <x:v>INPUT REQUIRED</x:v>
      </x:c>
      <x:c r="K14" s="178" t="str">
        <x:f>IF(Assumptions!$B$3="Downside",Assumptions!D10,IF(Assumptions!$B$3="Base",Assumptions!E10,IF(Assumptions!$B$3="Upside",Assumptions!F10,"")))</x:f>
        <x:v>INPUT REQUIRED</x:v>
      </x:c>
      <x:c r="L14" s="178" t="n">
        <x:v>0</x:v>
      </x:c>
      <x:c r="M14" s="178" t="str">
        <x:f>IF(AND(ISNUMBER(H14),ISNUMBER(J14),ISNUMBER(K14),ISNUMBER(L14)),H14-J14-K14-L14,"INPUT REQUIRED")</x:f>
        <x:v>INPUT REQUIRED</x:v>
      </x:c>
      <x:c r="N14" s="178" t="str">
        <x:f>IF(AND(ISNUMBER(H14)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14,IF(IF(Assumptions!$B$3="Downside",Assumptions!D15,IF(Assumptions!$B$3="Base",Assumptions!E15,IF(Assumptions!$B$3="Upside",Assumptions!F15,"")))=1,H13,IF(IF(Assumptions!$B$3="Downside",Assumptions!D15,IF(Assumptions!$B$3="Base",Assumptions!E15,IF(Assumptions!$B$3="Upside",Assumptions!F15,"")))=2,H12,"INPUT REQUIRED"))),"INPUT REQUIRED")</x:f>
        <x:v>INPUT REQUIRED</x:v>
      </x:c>
      <x:c r="O14" s="178" t="n">
        <x:v>0</x:v>
      </x:c>
      <x:c r="P14" s="178" t="str">
        <x:f>IF(AND(ISNUMBER(J14),ISNUMBER(K14),ISNUMBER(L14)),J14+K14+L14,"INPUT REQUIRED")</x:f>
        <x:v>INPUT REQUIRED</x:v>
      </x:c>
      <x:c r="Q14" s="178" t="str">
        <x:f>IF(AND(ISNUMBER(N14),ISNUMBER(O14),ISNUMBER(P14)),N14+O14-P14,"INPUT REQUIRED")</x:f>
        <x:v>INPUT REQUIRED</x:v>
      </x:c>
      <x:c r="R14" s="179" t="str">
        <x:f>IF(AND(ISNUMBER(Q14),ISNUMBER(R13)),R13+Q14,"INPUT REQUIRED")</x:f>
        <x:v>INPUT REQUIRED</x:v>
      </x:c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59" t="str">
        <x:v>Month 11</x:v>
      </x:c>
      <x:c r="B15" s="172" t="str">
        <x:f>IF(Assumptions!$B$3="Downside",Capacity_Ramp!F15,IF(Assumptions!$B$3="Base",Capacity_Ramp!K15,IF(Assumptions!$B$3="Upside",Capacity_Ramp!P15,"")))</x:f>
        <x:v>INPUT REQUIRED</x:v>
      </x:c>
      <x:c r="C15" s="172" t="str">
        <x:f>IF(Assumptions!$B$3="Downside",Capacity_Ramp!C15,IF(Assumptions!$B$3="Base",Capacity_Ramp!H15,IF(Assumptions!$B$3="Upside",Capacity_Ramp!M15,"")))</x:f>
        <x:v>INPUT REQUIRED</x:v>
      </x:c>
      <x:c r="D15" s="178" t="str">
        <x:f>IF(Assumptions!$B$3="Downside",Assumptions!D7,IF(Assumptions!$B$3="Base",Assumptions!E7,IF(Assumptions!$B$3="Upside",Assumptions!F7,"")))</x:f>
        <x:v>INPUT REQUIRED</x:v>
      </x:c>
      <x:c r="E15" s="178" t="str">
        <x:f>IF(AND(ISNUMBER(B15),ISNUMBER(D15)),B15*D15,"INPUT REQUIRED")</x:f>
        <x:v>INPUT REQUIRED</x:v>
      </x:c>
      <x:c r="F15" s="178" t="str">
        <x:f>IF(Assumptions!$B$3="Downside",Assumptions!D8,IF(Assumptions!$B$3="Base",Assumptions!E8,IF(Assumptions!$B$3="Upside",Assumptions!F8,"")))</x:f>
        <x:v>INPUT REQUIRED</x:v>
      </x:c>
      <x:c r="G15" s="178" t="str">
        <x:f>IF(AND(ISNUMBER(C15),ISNUMBER(F15)),C15*F15,"INPUT REQUIRED")</x:f>
        <x:v>INPUT REQUIRED</x:v>
      </x:c>
      <x:c r="H15" s="178" t="str">
        <x:f>IF(AND(ISNUMBER(E15),ISNUMBER(G15)),E15+G15,"INPUT REQUIRED")</x:f>
        <x:v>INPUT REQUIRED</x:v>
      </x:c>
      <x:c r="I15" s="178" t="str">
        <x:f>IF(Assumptions!$B$3="Downside",Assumptions!D9,IF(Assumptions!$B$3="Base",Assumptions!E9,IF(Assumptions!$B$3="Upside",Assumptions!F9,"")))</x:f>
        <x:v>INPUT REQUIRED</x:v>
      </x:c>
      <x:c r="J15" s="178" t="str">
        <x:f>IF(AND(ISNUMBER(B15),ISNUMBER(I15)),B15*I15,"INPUT REQUIRED")</x:f>
        <x:v>INPUT REQUIRED</x:v>
      </x:c>
      <x:c r="K15" s="178" t="str">
        <x:f>IF(Assumptions!$B$3="Downside",Assumptions!D10,IF(Assumptions!$B$3="Base",Assumptions!E10,IF(Assumptions!$B$3="Upside",Assumptions!F10,"")))</x:f>
        <x:v>INPUT REQUIRED</x:v>
      </x:c>
      <x:c r="L15" s="178" t="n">
        <x:v>0</x:v>
      </x:c>
      <x:c r="M15" s="178" t="str">
        <x:f>IF(AND(ISNUMBER(H15),ISNUMBER(J15),ISNUMBER(K15),ISNUMBER(L15)),H15-J15-K15-L15,"INPUT REQUIRED")</x:f>
        <x:v>INPUT REQUIRED</x:v>
      </x:c>
      <x:c r="N15" s="178" t="str">
        <x:f>IF(AND(ISNUMBER(H15)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15,IF(IF(Assumptions!$B$3="Downside",Assumptions!D15,IF(Assumptions!$B$3="Base",Assumptions!E15,IF(Assumptions!$B$3="Upside",Assumptions!F15,"")))=1,H14,IF(IF(Assumptions!$B$3="Downside",Assumptions!D15,IF(Assumptions!$B$3="Base",Assumptions!E15,IF(Assumptions!$B$3="Upside",Assumptions!F15,"")))=2,H13,"INPUT REQUIRED"))),"INPUT REQUIRED")</x:f>
        <x:v>INPUT REQUIRED</x:v>
      </x:c>
      <x:c r="O15" s="178" t="n">
        <x:v>0</x:v>
      </x:c>
      <x:c r="P15" s="178" t="str">
        <x:f>IF(AND(ISNUMBER(J15),ISNUMBER(K15),ISNUMBER(L15)),J15+K15+L15,"INPUT REQUIRED")</x:f>
        <x:v>INPUT REQUIRED</x:v>
      </x:c>
      <x:c r="Q15" s="178" t="str">
        <x:f>IF(AND(ISNUMBER(N15),ISNUMBER(O15),ISNUMBER(P15)),N15+O15-P15,"INPUT REQUIRED")</x:f>
        <x:v>INPUT REQUIRED</x:v>
      </x:c>
      <x:c r="R15" s="179" t="str">
        <x:f>IF(AND(ISNUMBER(Q15),ISNUMBER(R14)),R14+Q15,"INPUT REQUIRED")</x:f>
        <x:v>INPUT REQUIRED</x:v>
      </x:c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61" t="str">
        <x:v>Month 12</x:v>
      </x:c>
      <x:c r="B16" s="174" t="str">
        <x:f>IF(Assumptions!$B$3="Downside",Capacity_Ramp!F16,IF(Assumptions!$B$3="Base",Capacity_Ramp!K16,IF(Assumptions!$B$3="Upside",Capacity_Ramp!P16,"")))</x:f>
        <x:v>INPUT REQUIRED</x:v>
      </x:c>
      <x:c r="C16" s="174" t="str">
        <x:f>IF(Assumptions!$B$3="Downside",Capacity_Ramp!C16,IF(Assumptions!$B$3="Base",Capacity_Ramp!H16,IF(Assumptions!$B$3="Upside",Capacity_Ramp!M16,"")))</x:f>
        <x:v>INPUT REQUIRED</x:v>
      </x:c>
      <x:c r="D16" s="180" t="str">
        <x:f>IF(Assumptions!$B$3="Downside",Assumptions!D7,IF(Assumptions!$B$3="Base",Assumptions!E7,IF(Assumptions!$B$3="Upside",Assumptions!F7,"")))</x:f>
        <x:v>INPUT REQUIRED</x:v>
      </x:c>
      <x:c r="E16" s="180" t="str">
        <x:f>IF(AND(ISNUMBER(B16),ISNUMBER(D16)),B16*D16,"INPUT REQUIRED")</x:f>
        <x:v>INPUT REQUIRED</x:v>
      </x:c>
      <x:c r="F16" s="180" t="str">
        <x:f>IF(Assumptions!$B$3="Downside",Assumptions!D8,IF(Assumptions!$B$3="Base",Assumptions!E8,IF(Assumptions!$B$3="Upside",Assumptions!F8,"")))</x:f>
        <x:v>INPUT REQUIRED</x:v>
      </x:c>
      <x:c r="G16" s="180" t="str">
        <x:f>IF(AND(ISNUMBER(C16),ISNUMBER(F16)),C16*F16,"INPUT REQUIRED")</x:f>
        <x:v>INPUT REQUIRED</x:v>
      </x:c>
      <x:c r="H16" s="180" t="str">
        <x:f>IF(AND(ISNUMBER(E16),ISNUMBER(G16)),E16+G16,"INPUT REQUIRED")</x:f>
        <x:v>INPUT REQUIRED</x:v>
      </x:c>
      <x:c r="I16" s="180" t="str">
        <x:f>IF(Assumptions!$B$3="Downside",Assumptions!D9,IF(Assumptions!$B$3="Base",Assumptions!E9,IF(Assumptions!$B$3="Upside",Assumptions!F9,"")))</x:f>
        <x:v>INPUT REQUIRED</x:v>
      </x:c>
      <x:c r="J16" s="180" t="str">
        <x:f>IF(AND(ISNUMBER(B16),ISNUMBER(I16)),B16*I16,"INPUT REQUIRED")</x:f>
        <x:v>INPUT REQUIRED</x:v>
      </x:c>
      <x:c r="K16" s="180" t="str">
        <x:f>IF(Assumptions!$B$3="Downside",Assumptions!D10,IF(Assumptions!$B$3="Base",Assumptions!E10,IF(Assumptions!$B$3="Upside",Assumptions!F10,"")))</x:f>
        <x:v>INPUT REQUIRED</x:v>
      </x:c>
      <x:c r="L16" s="180" t="n">
        <x:v>0</x:v>
      </x:c>
      <x:c r="M16" s="180" t="str">
        <x:f>IF(AND(ISNUMBER(H16),ISNUMBER(J16),ISNUMBER(K16),ISNUMBER(L16)),H16-J16-K16-L16,"INPUT REQUIRED")</x:f>
        <x:v>INPUT REQUIRED</x:v>
      </x:c>
      <x:c r="N16" s="180" t="str">
        <x:f>IF(AND(ISNUMBER(H16),ISNUMBER(IF(Assumptions!$B$3="Downside",Assumptions!D15,IF(Assumptions!$B$3="Base",Assumptions!E15,IF(Assumptions!$B$3="Upside",Assumptions!F15,""))))),IF(IF(Assumptions!$B$3="Downside",Assumptions!D15,IF(Assumptions!$B$3="Base",Assumptions!E15,IF(Assumptions!$B$3="Upside",Assumptions!F15,"")))=0,H16,IF(IF(Assumptions!$B$3="Downside",Assumptions!D15,IF(Assumptions!$B$3="Base",Assumptions!E15,IF(Assumptions!$B$3="Upside",Assumptions!F15,"")))=1,H15,IF(IF(Assumptions!$B$3="Downside",Assumptions!D15,IF(Assumptions!$B$3="Base",Assumptions!E15,IF(Assumptions!$B$3="Upside",Assumptions!F15,"")))=2,H14,"INPUT REQUIRED"))),"INPUT REQUIRED")</x:f>
        <x:v>INPUT REQUIRED</x:v>
      </x:c>
      <x:c r="O16" s="180" t="n">
        <x:v>0</x:v>
      </x:c>
      <x:c r="P16" s="180" t="str">
        <x:f>IF(AND(ISNUMBER(J16),ISNUMBER(K16),ISNUMBER(L16)),J16+K16+L16,"INPUT REQUIRED")</x:f>
        <x:v>INPUT REQUIRED</x:v>
      </x:c>
      <x:c r="Q16" s="180" t="str">
        <x:f>IF(AND(ISNUMBER(N16),ISNUMBER(O16),ISNUMBER(P16)),N16+O16-P16,"INPUT REQUIRED")</x:f>
        <x:v>INPUT REQUIRED</x:v>
      </x:c>
      <x:c r="R16" s="181" t="str">
        <x:f>IF(AND(ISNUMBER(Q16),ISNUMBER(R15)),R15+Q16,"INPUT REQUIRED")</x:f>
        <x:v>INPUT REQUIRED</x:v>
      </x:c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T1"/>
    <x:mergeCell ref="A2:T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1.600000381469727" hidden="0" customHeight="1">
      <x:c r="A1" s="4" t="str">
        <x:v>Model Controls and Stop Conditions</x:v>
      </x:c>
      <x:c r="B1" s="4" t="str">
        <x:v>Model Controls and Stop Conditions</x:v>
      </x:c>
      <x:c r="C1" s="4" t="str">
        <x:v>Model Controls and Stop Conditions</x:v>
      </x:c>
      <x:c r="D1" s="4" t="str">
        <x:v>Model Controls and Stop Conditions</x:v>
      </x:c>
      <x:c r="E1" s="4" t="str">
        <x:v>Model Controls and Stop Conditions</x:v>
      </x:c>
      <x:c r="F1" s="4" t="str">
        <x:v>Model Controls and Stop Conditions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8" t="str">
        <x:v>The model cannot report CALCULABLE while required inputs, provenance, endpoint reconciliation, non-negativity, or build-time audits fail. CALCULABLE never means forecast.</x:v>
      </x:c>
      <x:c r="B2" s="8" t="str">
        <x:v>The model cannot report CALCULABLE while required inputs, provenance, endpoint reconciliation, non-negativity, or build-time audits fail. CALCULABLE never means forecast.</x:v>
      </x:c>
      <x:c r="C2" s="8" t="str">
        <x:v>The model cannot report CALCULABLE while required inputs, provenance, endpoint reconciliation, non-negativity, or build-time audits fail. CALCULABLE never means forecast.</x:v>
      </x:c>
      <x:c r="D2" s="8" t="str">
        <x:v>The model cannot report CALCULABLE while required inputs, provenance, endpoint reconciliation, non-negativity, or build-time audits fail. CALCULABLE never means forecast.</x:v>
      </x:c>
      <x:c r="E2" s="8" t="str">
        <x:v>The model cannot report CALCULABLE while required inputs, provenance, endpoint reconciliation, non-negativity, or build-time audits fail. CALCULABLE never means forecast.</x:v>
      </x:c>
      <x:c r="F2" s="8" t="str">
        <x:v>The model cannot report CALCULABLE while required inputs, provenance, endpoint reconciliation, non-negativity, or build-time audits fail. CALCULABLE never means forecast.</x:v>
      </x:c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8" t="str">
        <x:v>The model cannot report CALCULABLE while required inputs, provenance, endpoint reconciliation, non-negativity, or build-time audits fail. CALCULABLE never means forecast.</x:v>
      </x:c>
      <x:c r="B3" s="8" t="str">
        <x:v>The model cannot report CALCULABLE while required inputs, provenance, endpoint reconciliation, non-negativity, or build-time audits fail. CALCULABLE never means forecast.</x:v>
      </x:c>
      <x:c r="C3" s="8" t="str">
        <x:v>The model cannot report CALCULABLE while required inputs, provenance, endpoint reconciliation, non-negativity, or build-time audits fail. CALCULABLE never means forecast.</x:v>
      </x:c>
      <x:c r="D3" s="8" t="str">
        <x:v>The model cannot report CALCULABLE while required inputs, provenance, endpoint reconciliation, non-negativity, or build-time audits fail. CALCULABLE never means forecast.</x:v>
      </x:c>
      <x:c r="E3" s="8" t="str">
        <x:v>The model cannot report CALCULABLE while required inputs, provenance, endpoint reconciliation, non-negativity, or build-time audits fail. CALCULABLE never means forecast.</x:v>
      </x:c>
      <x:c r="F3" s="8" t="str">
        <x:v>The model cannot report CALCULABLE while required inputs, provenance, endpoint reconciliation, non-negativity, or build-time audits fail. CALCULABLE never means forecast.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43" t="str">
        <x:v>Control</x:v>
      </x:c>
      <x:c r="B4" s="71" t="str">
        <x:v>Actual</x:v>
      </x:c>
      <x:c r="C4" s="71" t="str">
        <x:v>Expected</x:v>
      </x:c>
      <x:c r="D4" s="44" t="str">
        <x:v>Status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57" t="str">
        <x:v>Scenario selector</x:v>
      </x:c>
      <x:c r="B5" s="77" t="str">
        <x:f>Assumptions!B3</x:f>
        <x:v>Base</x:v>
      </x:c>
      <x:c r="C5" s="77" t="str">
        <x:v>Downside / Base / Upside</x:v>
      </x:c>
      <x:c r="D5" s="182" t="str">
        <x:f>IF(OR(B5="Downside",B5="Base",B5="Upside"),"PASS","CHECK FAIL")</x:f>
        <x:v>PASS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59" t="str">
        <x:v>Required monetary/cash inputs populated</x:v>
      </x:c>
      <x:c r="B6" s="78" t="n">
        <x:f>IF(Assumptions!B3="Downside",COUNT(Assumptions!D7:D15),IF(Assumptions!B3="Base",COUNT(Assumptions!E7:E15),IF(Assumptions!B3="Upside",COUNT(Assumptions!F7:F15),0)))</x:f>
        <x:v>0</x:v>
      </x:c>
      <x:c r="C6" s="78" t="n">
        <x:v>9</x:v>
      </x:c>
      <x:c r="D6" s="183" t="str">
        <x:f>IF(B6=C6,"PASS","INPUT REQUIRED")</x:f>
        <x:v>INPUT REQUIRED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59" t="str">
        <x:v>Selected capacity activations + churn inputs populated</x:v>
      </x:c>
      <x:c r="B7" s="78" t="n">
        <x:f>IF(Assumptions!B3="Downside",COUNT(Capacity_Ramp!C5:D16),IF(Assumptions!B3="Base",COUNT(Capacity_Ramp!H5:I16),IF(Assumptions!B3="Upside",COUNT(Capacity_Ramp!M5:N16),0)))</x:f>
        <x:v>0</x:v>
      </x:c>
      <x:c r="C7" s="78" t="n">
        <x:v>24</x:v>
      </x:c>
      <x:c r="D7" s="183" t="str">
        <x:f>IF(B7=C7,"PASS","INPUT REQUIRED")</x:f>
        <x:v>INPUT REQUIRED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59" t="str">
        <x:v>Selected month-12 endpoint reconciles</x:v>
      </x:c>
      <x:c r="B8" s="78" t="str">
        <x:f>IF(Assumptions!B3="Downside",Capacity_Ramp!B19,IF(Assumptions!B3="Base",Capacity_Ramp!H19,IF(Assumptions!B3="Upside",Capacity_Ramp!M19,"CHECK FAIL")))</x:f>
        <x:v>INPUT REQUIRED</x:v>
      </x:c>
      <x:c r="C8" s="78" t="str">
        <x:v>PASS</x:v>
      </x:c>
      <x:c r="D8" s="183" t="str">
        <x:f>IF(B8="PASS","PASS",B8)</x:f>
        <x:v>INPUT REQUIRED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59" t="str">
        <x:v>Excluded scope kept out of model</x:v>
      </x:c>
      <x:c r="B9" s="78" t="str">
        <x:v>0 excluded-scope line hits</x:v>
      </x:c>
      <x:c r="C9" s="78" t="str">
        <x:v>PASS</x:v>
      </x:c>
      <x:c r="D9" s="183" t="str">
        <x:v>PASS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59" t="str">
        <x:v>Competitor benchmarks isolated</x:v>
      </x:c>
      <x:c r="B10" s="78" t="str">
        <x:v>0 benchmark-cell references</x:v>
      </x:c>
      <x:c r="C10" s="78" t="str">
        <x:v>PASS</x:v>
      </x:c>
      <x:c r="D10" s="183" t="str">
        <x:v>PASS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59" t="str">
        <x:v>Formula-error build scan</x:v>
      </x:c>
      <x:c r="B11" s="78" t="str">
        <x:v>0 formula-error cells</x:v>
      </x:c>
      <x:c r="C11" s="78" t="str">
        <x:v>PASS</x:v>
      </x:c>
      <x:c r="D11" s="183" t="str">
        <x:v>PASS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59" t="str">
        <x:v>Selected-scenario provenance complete</x:v>
      </x:c>
      <x:c r="B12" s="78" t="n">
        <x:f>IF(Assumptions!B3="Downside",COUNTIF(Input_Provenance!I5:I16,"PASS"),IF(Assumptions!B3="Base",COUNTIF(Input_Provenance!I17:I28,"PASS"),IF(Assumptions!B3="Upside",COUNTIF(Input_Provenance!I29:I40,"PASS"),0)))</x:f>
        <x:v>0</x:v>
      </x:c>
      <x:c r="C12" s="78" t="n">
        <x:v>12</x:v>
      </x:c>
      <x:c r="D12" s="183" t="str">
        <x:f>IF(B12=C12,"PASS","INPUT REQUIRED")</x:f>
        <x:v>INPUT REQUIRED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61" t="str">
        <x:v>Selected capacity remains non-negative</x:v>
      </x:c>
      <x:c r="B13" s="79" t="str">
        <x:f>IF(Assumptions!B3="Downside",IF(MIN(Capacity_Ramp!E5:E16)&gt;=0,"PASS","CHECK FAIL"),IF(Assumptions!B3="Base",IF(MIN(Capacity_Ramp!J5:J16)&gt;=0,"PASS","CHECK FAIL"),IF(Assumptions!B3="Upside",IF(MIN(Capacity_Ramp!O5:O16)&gt;=0,"PASS","CHECK FAIL"),"CHECK FAIL")))</x:f>
        <x:v>PASS</x:v>
      </x:c>
      <x:c r="C13" s="79" t="str">
        <x:v>PASS</x:v>
      </x:c>
      <x:c r="D13" s="184" t="str">
        <x:f>IF(B13="PASS","PASS",B13)</x:f>
        <x:v>PASS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43" t="str">
        <x:v>Overall model status</x:v>
      </x:c>
      <x:c r="B15" s="71"/>
      <x:c r="C15" s="71"/>
      <x:c r="D15" s="44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166" t="str">
        <x:v>Status</x:v>
      </x:c>
      <x:c r="B16" s="167"/>
      <x:c r="C16" s="167"/>
      <x:c r="D16" s="186" t="str">
        <x:f>IF(AND(D5="PASS",D6="PASS",D7="PASS",D8="PASS",D9="PASS",D10="PASS",D11="PASS",D12="PASS",D13="PASS"),"PASS","BLOCKED")</x:f>
        <x:v>BLOCKED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F1"/>
    <x:mergeCell ref="A2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5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1.600000381469727" hidden="0" customHeight="1">
      <x:c r="A1" s="4" t="str">
        <x:v>Sources and Audit Trail</x:v>
      </x:c>
      <x:c r="B1" s="4" t="str">
        <x:v>Sources and Audit Trail</x:v>
      </x:c>
      <x:c r="C1" s="4" t="str">
        <x:v>Sources and Audit Trail</x:v>
      </x:c>
      <x:c r="D1" s="4" t="str">
        <x:v>Sources and Audit Trail</x:v>
      </x:c>
      <x:c r="E1" s="4" t="str">
        <x:v>Sources and Audit Trail</x:v>
      </x:c>
      <x:c r="F1" s="4" t="str">
        <x:v>Sources and Audit Trail</x:v>
      </x:c>
      <x:c r="G1" s="4" t="str">
        <x:v>Sources and Audit Trail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8" t="str">
        <x:v>Primary external sources and local stage artifacts used by the workbook. Local files are draft-only evidence controls, not market or customer proof.</x:v>
      </x:c>
      <x:c r="B2" s="8" t="str">
        <x:v>Primary external sources and local stage artifacts used by the workbook. Local files are draft-only evidence controls, not market or customer proof.</x:v>
      </x:c>
      <x:c r="C2" s="8" t="str">
        <x:v>Primary external sources and local stage artifacts used by the workbook. Local files are draft-only evidence controls, not market or customer proof.</x:v>
      </x:c>
      <x:c r="D2" s="8" t="str">
        <x:v>Primary external sources and local stage artifacts used by the workbook. Local files are draft-only evidence controls, not market or customer proof.</x:v>
      </x:c>
      <x:c r="E2" s="8" t="str">
        <x:v>Primary external sources and local stage artifacts used by the workbook. Local files are draft-only evidence controls, not market or customer proof.</x:v>
      </x:c>
      <x:c r="F2" s="8" t="str">
        <x:v>Primary external sources and local stage artifacts used by the workbook. Local files are draft-only evidence controls, not market or customer proof.</x:v>
      </x:c>
      <x:c r="G2" s="8" t="str">
        <x:v>Primary external sources and local stage artifacts used by the workbook. Local files are draft-only evidence controls, not market or customer proof.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8" t="str">
        <x:v>Primary external sources and local stage artifacts used by the workbook. Local files are draft-only evidence controls, not market or customer proof.</x:v>
      </x:c>
      <x:c r="B3" s="8" t="str">
        <x:v>Primary external sources and local stage artifacts used by the workbook. Local files are draft-only evidence controls, not market or customer proof.</x:v>
      </x:c>
      <x:c r="C3" s="8" t="str">
        <x:v>Primary external sources and local stage artifacts used by the workbook. Local files are draft-only evidence controls, not market or customer proof.</x:v>
      </x:c>
      <x:c r="D3" s="8" t="str">
        <x:v>Primary external sources and local stage artifacts used by the workbook. Local files are draft-only evidence controls, not market or customer proof.</x:v>
      </x:c>
      <x:c r="E3" s="8" t="str">
        <x:v>Primary external sources and local stage artifacts used by the workbook. Local files are draft-only evidence controls, not market or customer proof.</x:v>
      </x:c>
      <x:c r="F3" s="8" t="str">
        <x:v>Primary external sources and local stage artifacts used by the workbook. Local files are draft-only evidence controls, not market or customer proof.</x:v>
      </x:c>
      <x:c r="G3" s="8" t="str">
        <x:v>Primary external sources and local stage artifacts used by the workbook. Local files are draft-only evidence controls, not market or customer proof.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43" t="str">
        <x:v>Source ID</x:v>
      </x:c>
      <x:c r="B4" s="71" t="str">
        <x:v>Type</x:v>
      </x:c>
      <x:c r="C4" s="71" t="str">
        <x:v>Evidence label</x:v>
      </x:c>
      <x:c r="D4" s="71" t="str">
        <x:v>URL / local file</x:v>
      </x:c>
      <x:c r="E4" s="71" t="str">
        <x:v>As of / retrieved</x:v>
      </x:c>
      <x:c r="F4" s="71" t="str">
        <x:v>Used for</x:v>
      </x:c>
      <x:c r="G4" s="44" t="str">
        <x:v>Limit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57" t="str">
        <x:v>product-reference</x:v>
      </x:c>
      <x:c r="B5" s="77" t="str">
        <x:v>Local authoritative product file</x:v>
      </x:c>
      <x:c r="C5" s="77" t="str">
        <x:v>Confirmed</x:v>
      </x:c>
      <x:c r="D5" s="77" t="str">
        <x:v>mawid-github/README.md</x:v>
      </x:c>
      <x:c r="E5" s="77" t="str">
        <x:v>2026-08-25</x:v>
      </x:c>
      <x:c r="F5" s="77" t="str">
        <x:v>Product boundary and exclusions</x:v>
      </x:c>
      <x:c r="G5" s="58" t="str">
        <x:v>Prototype scope only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4" hidden="0" customHeight="1">
      <x:c r="A6" s="59" t="str">
        <x:v>market-screen</x:v>
      </x:c>
      <x:c r="B6" s="78" t="str">
        <x:v>Local draft</x:v>
      </x:c>
      <x:c r="C6" s="78" t="str">
        <x:v>Confirmed / Inferred / Missing</x:v>
      </x:c>
      <x:c r="D6" s="78" t="str">
        <x:v>outputs/mawid-business-plan-sprint/03-market-sizing-and-competition.md</x:v>
      </x:c>
      <x:c r="E6" s="78" t="str">
        <x:v>2026-08-25</x:v>
      </x:c>
      <x:c r="F6" s="78" t="str">
        <x:v>Competitor benchmarks and capacity context</x:v>
      </x:c>
      <x:c r="G6" s="60" t="str">
        <x:v>No demand or TAM/SAM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59" t="str">
        <x:v>jordan-table18</x:v>
      </x:c>
      <x:c r="B7" s="78" t="str">
        <x:v>Official statistics</x:v>
      </x:c>
      <x:c r="C7" s="78" t="str">
        <x:v>Confirmed</x:v>
      </x:c>
      <x:c r="D7" s="78" t="str">
        <x:v>https://dosweb.dos.gov.jo/DataBank/Census_Establishment2018/table18.pdf</x:v>
      </x:c>
      <x:c r="E7" s="78" t="str">
        <x:v>2018; retrieved 2026-08-25</x:v>
      </x:c>
      <x:c r="F7" s="78" t="str">
        <x:v>Establishment-universe proxy source</x:v>
      </x:c>
      <x:c r="G7" s="60" t="str">
        <x:v>Jordan transfer remains Inferred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4" hidden="0" customHeight="1">
      <x:c r="A8" s="59" t="str">
        <x:v>wdi-population</x:v>
      </x:c>
      <x:c r="B8" s="78" t="str">
        <x:v>Official statistics</x:v>
      </x:c>
      <x:c r="C8" s="78" t="str">
        <x:v>Confirmed</x:v>
      </x:c>
      <x:c r="D8" s="78" t="str">
        <x:v>https://databank.worldbank.org/reports.aspx?country=LBN%2CJOR&amp;series=SP.POP.TOTL&amp;source=2</x:v>
      </x:c>
      <x:c r="E8" s="78" t="str">
        <x:v>2018 values; retrieved 2026-08-25</x:v>
      </x:c>
      <x:c r="F8" s="78" t="str">
        <x:v>Proxy population inputs</x:v>
      </x:c>
      <x:c r="G8" s="60" t="str">
        <x:v>Not a Lebanon business count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59" t="str">
        <x:v>fresha-pricing</x:v>
      </x:c>
      <x:c r="B9" s="78" t="str">
        <x:v>Official competitor</x:v>
      </x:c>
      <x:c r="C9" s="78" t="str">
        <x:v>Confirmed public benchmark</x:v>
      </x:c>
      <x:c r="D9" s="78" t="str">
        <x:v>https://www.fresha.com/pricing</x:v>
      </x:c>
      <x:c r="E9" s="78" t="str">
        <x:v>2026-08-25</x:v>
      </x:c>
      <x:c r="F9" s="78" t="str">
        <x:v>Pricing-basis context only</x:v>
      </x:c>
      <x:c r="G9" s="60" t="str">
        <x:v>Not MAWID WTP or Lebanon price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59" t="str">
        <x:v>booksy-pricing</x:v>
      </x:c>
      <x:c r="B10" s="78" t="str">
        <x:v>Official competitor</x:v>
      </x:c>
      <x:c r="C10" s="78" t="str">
        <x:v>Confirmed public benchmark</x:v>
      </x:c>
      <x:c r="D10" s="78" t="str">
        <x:v>https://biz.booksy.com/pricing</x:v>
      </x:c>
      <x:c r="E10" s="78" t="str">
        <x:v>2026-08-25</x:v>
      </x:c>
      <x:c r="F10" s="78" t="str">
        <x:v>Pricing-basis context only</x:v>
      </x:c>
      <x:c r="G10" s="60" t="str">
        <x:v>US locale; not MAWID WTP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59" t="str">
        <x:v>simplybook-pricing</x:v>
      </x:c>
      <x:c r="B11" s="78" t="str">
        <x:v>Official competitor</x:v>
      </x:c>
      <x:c r="C11" s="78" t="str">
        <x:v>Confirmed public benchmark</x:v>
      </x:c>
      <x:c r="D11" s="78" t="str">
        <x:v>https://simplybook.me/en/pricing</x:v>
      </x:c>
      <x:c r="E11" s="78" t="str">
        <x:v>2026-08-25</x:v>
      </x:c>
      <x:c r="F11" s="78" t="str">
        <x:v>Pricing-basis context only</x:v>
      </x:c>
      <x:c r="G11" s="60" t="str">
        <x:v>USD page; not MAWID WTP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59" t="str">
        <x:v>fpa-brief</x:v>
      </x:c>
      <x:c r="B12" s="78" t="str">
        <x:v>Local role output</x:v>
      </x:c>
      <x:c r="C12" s="78" t="str">
        <x:v>Recommended / Missing</x:v>
      </x:c>
      <x:c r="D12" s="78" t="str">
        <x:v>outputs/mawid-business-plan-sprint/working/06-fpa-model-brief.md</x:v>
      </x:c>
      <x:c r="E12" s="78" t="str">
        <x:v>2026-08-25</x:v>
      </x:c>
      <x:c r="F12" s="78" t="str">
        <x:v>Workbook structure and checks</x:v>
      </x:c>
      <x:c r="G12" s="60" t="str">
        <x:v>No populated forecast authorized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4" hidden="0" customHeight="1">
      <x:c r="A13" s="59" t="str">
        <x:v>financial-review</x:v>
      </x:c>
      <x:c r="B13" s="78" t="str">
        <x:v>Local independent review</x:v>
      </x:c>
      <x:c r="C13" s="78" t="str">
        <x:v>Recommended / Missing</x:v>
      </x:c>
      <x:c r="D13" s="78" t="str">
        <x:v>outputs/mawid-business-plan-sprint/working/06-financial-analyst-review.md</x:v>
      </x:c>
      <x:c r="E13" s="78" t="str">
        <x:v>2026-08-25</x:v>
      </x:c>
      <x:c r="F13" s="78" t="str">
        <x:v>Liquidity, break-even, and stop conditions</x:v>
      </x:c>
      <x:c r="G13" s="60" t="str">
        <x:v>No funding or valuation conclusion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61" t="str">
        <x:v>customer-evidence</x:v>
      </x:c>
      <x:c r="B14" s="79" t="str">
        <x:v>Local synthesis</x:v>
      </x:c>
      <x:c r="C14" s="79" t="str">
        <x:v>Missing</x:v>
      </x:c>
      <x:c r="D14" s="79" t="str">
        <x:v>outputs/mawid-business-plan-sprint/04-customer-evidence-and-icp.md</x:v>
      </x:c>
      <x:c r="E14" s="79" t="str">
        <x:v>2026-08-25</x:v>
      </x:c>
      <x:c r="F14" s="79" t="str">
        <x:v>Customer evidence gate</x:v>
      </x:c>
      <x:c r="G14" s="62" t="str">
        <x:v>No interviews or demand evidence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G1"/>
    <x:mergeCell ref="A2:G3"/>
  </x:mergeCells>
  <x:pageMargins left="0.7" right="0.7" top="0.75" bottom="0.75" header="0.3" footer="0.3"/>
</x:worksheet>
</file>